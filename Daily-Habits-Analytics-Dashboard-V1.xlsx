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" sheetId="1" r:id="rId4"/>
    <sheet state="visible" name="Every Date" sheetId="2" r:id="rId5"/>
    <sheet state="visible" name="Weekly" sheetId="3" r:id="rId6"/>
    <sheet state="visible" name="Monthly" sheetId="4" r:id="rId7"/>
    <sheet state="visible" name="Things" sheetId="5" r:id="rId8"/>
  </sheets>
  <definedNames/>
  <calcPr/>
</workbook>
</file>

<file path=xl/sharedStrings.xml><?xml version="1.0" encoding="utf-8"?>
<sst xmlns="http://schemas.openxmlformats.org/spreadsheetml/2006/main" count="553" uniqueCount="97">
  <si>
    <t>Habit</t>
  </si>
  <si>
    <t>Monday</t>
  </si>
  <si>
    <t>Tuesday</t>
  </si>
  <si>
    <t>Wednesday</t>
  </si>
  <si>
    <t>Thursday</t>
  </si>
  <si>
    <t>Friday</t>
  </si>
  <si>
    <t>Saturday</t>
  </si>
  <si>
    <t>Sunday</t>
  </si>
  <si>
    <t>Weekly Total</t>
  </si>
  <si>
    <t>Progress %</t>
  </si>
  <si>
    <t>All Done?</t>
  </si>
  <si>
    <t>Emoji</t>
  </si>
  <si>
    <t>Wake up early</t>
  </si>
  <si>
    <t>Meditation 5 minutes</t>
  </si>
  <si>
    <t>Ice Cube Face Wash</t>
  </si>
  <si>
    <t>Prepare your day / planning</t>
  </si>
  <si>
    <t>Workout</t>
  </si>
  <si>
    <t>Meal 1 (breakfast)</t>
  </si>
  <si>
    <t>Bath 1</t>
  </si>
  <si>
    <t>Dress well</t>
  </si>
  <si>
    <t>Go to college</t>
  </si>
  <si>
    <t>Meal 2 (lunch)</t>
  </si>
  <si>
    <t>Meal 3 (snack)</t>
  </si>
  <si>
    <t>Spend Time With Friends</t>
  </si>
  <si>
    <t>Meal 4 (dinner)</t>
  </si>
  <si>
    <t>Bath 2</t>
  </si>
  <si>
    <t>Skin routine</t>
  </si>
  <si>
    <t>Hair routine</t>
  </si>
  <si>
    <t>Read 20 min book</t>
  </si>
  <si>
    <t>Eat healthy</t>
  </si>
  <si>
    <t>Learn SQL</t>
  </si>
  <si>
    <t>Learn DSA</t>
  </si>
  <si>
    <t>Profile Buliding</t>
  </si>
  <si>
    <t>Minor project work</t>
  </si>
  <si>
    <t>Academic work</t>
  </si>
  <si>
    <t>Good bond with parents</t>
  </si>
  <si>
    <t>Good bond with friends</t>
  </si>
  <si>
    <t>Give Time For Your Habits</t>
  </si>
  <si>
    <t>Reduce Screen Time</t>
  </si>
  <si>
    <t>Sleep 6-8hr</t>
  </si>
  <si>
    <t>Flase=not a perfect day</t>
  </si>
  <si>
    <t>True=you completed all habits that day</t>
  </si>
  <si>
    <t>Overall Progress</t>
  </si>
  <si>
    <t>Completed %</t>
  </si>
  <si>
    <t>Remining %</t>
  </si>
  <si>
    <t>Average of C%</t>
  </si>
  <si>
    <t>Average of R%</t>
  </si>
  <si>
    <t>Year</t>
  </si>
  <si>
    <t>Months</t>
  </si>
  <si>
    <t>Dates</t>
  </si>
  <si>
    <t>Days</t>
  </si>
  <si>
    <t>Complete Habits</t>
  </si>
  <si>
    <t>Total Habits</t>
  </si>
  <si>
    <t>Remining Habits</t>
  </si>
  <si>
    <t>Daily Progress %</t>
  </si>
  <si>
    <t>Daily Score Out of 10</t>
  </si>
  <si>
    <t>December</t>
  </si>
  <si>
    <t>Highest Progress</t>
  </si>
  <si>
    <t>Lowest Progress</t>
  </si>
  <si>
    <t>Average Progress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</si>
  <si>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</si>
  <si>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</si>
  <si>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</si>
  <si>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</si>
  <si>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</si>
  <si>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</si>
  <si>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</si>
  <si>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</si>
  <si>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</si>
  <si>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</si>
  <si>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</si>
  <si>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Week</t>
  </si>
  <si>
    <t>Remaining %</t>
  </si>
  <si>
    <t>Week 5</t>
  </si>
  <si>
    <t>Week 4</t>
  </si>
  <si>
    <t>Week 3</t>
  </si>
  <si>
    <t>Week 2</t>
  </si>
  <si>
    <t>Week 1</t>
  </si>
  <si>
    <t>⭐ Best Week</t>
  </si>
  <si>
    <t>😢 Worst Week</t>
  </si>
  <si>
    <t>📊 Average</t>
  </si>
  <si>
    <t>📈 Trend</t>
  </si>
  <si>
    <t>Week 1 %</t>
  </si>
  <si>
    <t>Week 2 %</t>
  </si>
  <si>
    <t>Week 3 %</t>
  </si>
  <si>
    <t>Week 4 %</t>
  </si>
  <si>
    <t>Week 5%</t>
  </si>
  <si>
    <t>Overall %</t>
  </si>
  <si>
    <t xml:space="preserve">Best Week </t>
  </si>
  <si>
    <t>Worst Week</t>
  </si>
  <si>
    <t>Insights</t>
  </si>
  <si>
    <t>Monthly Rank</t>
  </si>
  <si>
    <t xml:space="preserve">"Needs Attention ❌" </t>
  </si>
  <si>
    <t>February</t>
  </si>
  <si>
    <t xml:space="preserve">March </t>
  </si>
  <si>
    <t xml:space="preserve">April </t>
  </si>
  <si>
    <t>----] One Of The Important Year In Your Life----🧑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</si>
</sst>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mm 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3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2" numFmtId="0" xfId="0" applyAlignment="1" applyFont="1">
      <alignment readingOrder="0"/>
    </xf>
    <xf borderId="0" fillId="0" fontId="3" numFmtId="10" xfId="0" applyFont="1" applyNumberFormat="1"/>
    <xf borderId="0" fillId="0" fontId="3" numFmtId="10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274E1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Daily!$G$47:$G$48</c:f>
              <c:numCache/>
            </c:numRef>
          </c:val>
        </c:ser>
        <c:axId val="1946072989"/>
        <c:axId val="703276746"/>
      </c:bar3DChart>
      <c:catAx>
        <c:axId val="19460729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276746"/>
      </c:catAx>
      <c:valAx>
        <c:axId val="7032767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072989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274E1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Daily!$G$44:$G$45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274E1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Daily!$H$44:$H$45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274E1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Daily!$I$44:$I$45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274E1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Daily!$J$44:$J$45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274E1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Daily!$K$44:$K$45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274E1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Daily!$L$44:$L$45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274E1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Daily!$M$44:$M$45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274E13"/>
              </a:solidFill>
            </c:spPr>
          </c:dPt>
          <c:dPt>
            <c:idx val="2"/>
            <c:spPr>
              <a:solidFill>
                <a:srgbClr val="000000"/>
              </a:solidFill>
            </c:spPr>
          </c:dPt>
          <c:dPt>
            <c:idx val="3"/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'Every Date'!$K$2:$K$6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Weekly!$B$3:$B$11</c:f>
            </c:strRef>
          </c:cat>
          <c:val>
            <c:numRef>
              <c:f>Weekly!$D$3:$D$11</c:f>
              <c:numCache/>
            </c:numRef>
          </c:val>
          <c:smooth val="0"/>
        </c:ser>
        <c:axId val="1773839807"/>
        <c:axId val="919092330"/>
      </c:lineChart>
      <c:catAx>
        <c:axId val="1773839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092330"/>
      </c:catAx>
      <c:valAx>
        <c:axId val="919092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839807"/>
      </c:valAx>
    </c:plotArea>
    <c:plotVisOnly val="1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Weekly!$B$3:$B$11</c:f>
            </c:strRef>
          </c:cat>
          <c:val>
            <c:numRef>
              <c:f>Weekly!$D$3:$D$11</c:f>
              <c:numCache/>
            </c:numRef>
          </c:val>
        </c:ser>
        <c:ser>
          <c:idx val="1"/>
          <c:order val="1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Weekly!$B$3:$B$11</c:f>
            </c:strRef>
          </c:cat>
          <c:val>
            <c:numRef>
              <c:f>Weekly!$F$3:$F$11</c:f>
              <c:numCache/>
            </c:numRef>
          </c:val>
        </c:ser>
        <c:axId val="1766702347"/>
        <c:axId val="2126324163"/>
      </c:bar3DChart>
      <c:catAx>
        <c:axId val="17667023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324163"/>
      </c:catAx>
      <c:valAx>
        <c:axId val="21263241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702347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December 25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Monthly!$H$3:$I$3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January 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Monthly!$H$5:$I$5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February 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Monthly!$H$7:$I$7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March 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Monthly!$H$9:$I$9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April 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Monthly!$H$11:$I$11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May 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Monthly!$H$13:$I$13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June 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Monthly!$H$15:$I$15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July 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Monthly!$H$17:$I$17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August 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Monthly!$H$19:$I$19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September 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Monthly!$H$21:$I$21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October 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Monthly!$H$23:$I$23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November 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Monthly!$H$25:$I$25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December 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Monthly!$H$27:$I$27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  <c:spPr>
    <a:solidFill>
      <a:srgbClr val="FFFFFF">
        <a:alpha val="0"/>
      </a:srgbClr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Monthly!$A$1:$A$27</c:f>
            </c:strRef>
          </c:cat>
          <c:val>
            <c:numRef>
              <c:f>Monthly!$H$1:$H$27</c:f>
              <c:numCache/>
            </c:numRef>
          </c:val>
          <c:smooth val="0"/>
        </c:ser>
        <c:axId val="1639540600"/>
        <c:axId val="341731247"/>
      </c:lineChart>
      <c:catAx>
        <c:axId val="1639540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41731247"/>
      </c:catAx>
      <c:valAx>
        <c:axId val="341731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39540600"/>
      </c:valAx>
    </c:plotArea>
    <c:plotVisOnly val="1"/>
  </c:chart>
  <c:spPr>
    <a:solidFill>
      <a:srgbClr val="FFFFFF">
        <a:alpha val="0"/>
      </a:srgbClr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Monthly!$M$1:$M$2</c:f>
            </c:strRef>
          </c:tx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Monthly!$A$3:$A$27</c:f>
            </c:strRef>
          </c:cat>
          <c:val>
            <c:numRef>
              <c:f>Monthly!$M$3:$M$27</c:f>
              <c:numCache/>
            </c:numRef>
          </c:val>
        </c:ser>
        <c:axId val="479916250"/>
        <c:axId val="1266895892"/>
      </c:bar3DChart>
      <c:catAx>
        <c:axId val="479916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266895892"/>
      </c:catAx>
      <c:valAx>
        <c:axId val="1266895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79916250"/>
      </c:valAx>
    </c:plotArea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2.xml"/><Relationship Id="rId10" Type="http://schemas.openxmlformats.org/officeDocument/2006/relationships/chart" Target="../charts/chart21.xml"/><Relationship Id="rId13" Type="http://schemas.openxmlformats.org/officeDocument/2006/relationships/chart" Target="../charts/chart24.xml"/><Relationship Id="rId12" Type="http://schemas.openxmlformats.org/officeDocument/2006/relationships/chart" Target="../charts/chart23.xml"/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5" Type="http://schemas.openxmlformats.org/officeDocument/2006/relationships/chart" Target="../charts/chart26.xml"/><Relationship Id="rId14" Type="http://schemas.openxmlformats.org/officeDocument/2006/relationships/chart" Target="../charts/chart25.xml"/><Relationship Id="rId5" Type="http://schemas.openxmlformats.org/officeDocument/2006/relationships/chart" Target="../charts/chart16.xml"/><Relationship Id="rId6" Type="http://schemas.openxmlformats.org/officeDocument/2006/relationships/chart" Target="../charts/chart17.xml"/><Relationship Id="rId7" Type="http://schemas.openxmlformats.org/officeDocument/2006/relationships/chart" Target="../charts/chart18.xml"/><Relationship Id="rId8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41</xdr:row>
      <xdr:rowOff>190500</xdr:rowOff>
    </xdr:from>
    <xdr:ext cx="5200650" cy="2676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933450</xdr:colOff>
      <xdr:row>48</xdr:row>
      <xdr:rowOff>171450</xdr:rowOff>
    </xdr:from>
    <xdr:ext cx="1000125" cy="1419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923925</xdr:colOff>
      <xdr:row>48</xdr:row>
      <xdr:rowOff>171450</xdr:rowOff>
    </xdr:from>
    <xdr:ext cx="1000125" cy="1381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923925</xdr:colOff>
      <xdr:row>48</xdr:row>
      <xdr:rowOff>171450</xdr:rowOff>
    </xdr:from>
    <xdr:ext cx="1000125" cy="1381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923925</xdr:colOff>
      <xdr:row>48</xdr:row>
      <xdr:rowOff>171450</xdr:rowOff>
    </xdr:from>
    <xdr:ext cx="1000125" cy="14192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914400</xdr:colOff>
      <xdr:row>48</xdr:row>
      <xdr:rowOff>171450</xdr:rowOff>
    </xdr:from>
    <xdr:ext cx="1000125" cy="1419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923925</xdr:colOff>
      <xdr:row>48</xdr:row>
      <xdr:rowOff>171450</xdr:rowOff>
    </xdr:from>
    <xdr:ext cx="1028700" cy="1419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933450</xdr:colOff>
      <xdr:row>48</xdr:row>
      <xdr:rowOff>171450</xdr:rowOff>
    </xdr:from>
    <xdr:ext cx="1028700" cy="14192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638175</xdr:colOff>
      <xdr:row>7</xdr:row>
      <xdr:rowOff>152400</xdr:rowOff>
    </xdr:from>
    <xdr:ext cx="3914775" cy="33147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533400</xdr:colOff>
      <xdr:row>0</xdr:row>
      <xdr:rowOff>142875</xdr:rowOff>
    </xdr:from>
    <xdr:ext cx="5715000" cy="34385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276225</xdr:colOff>
      <xdr:row>11</xdr:row>
      <xdr:rowOff>180975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28</xdr:row>
      <xdr:rowOff>180975</xdr:rowOff>
    </xdr:from>
    <xdr:ext cx="1838325" cy="19621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9525</xdr:colOff>
      <xdr:row>28</xdr:row>
      <xdr:rowOff>180975</xdr:rowOff>
    </xdr:from>
    <xdr:ext cx="2000250" cy="19621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923925</xdr:colOff>
      <xdr:row>29</xdr:row>
      <xdr:rowOff>0</xdr:rowOff>
    </xdr:from>
    <xdr:ext cx="2047875" cy="19621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752475</xdr:colOff>
      <xdr:row>28</xdr:row>
      <xdr:rowOff>180975</xdr:rowOff>
    </xdr:from>
    <xdr:ext cx="2200275" cy="19812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76200</xdr:colOff>
      <xdr:row>28</xdr:row>
      <xdr:rowOff>180975</xdr:rowOff>
    </xdr:from>
    <xdr:ext cx="2200275" cy="19812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352425</xdr:colOff>
      <xdr:row>28</xdr:row>
      <xdr:rowOff>180975</xdr:rowOff>
    </xdr:from>
    <xdr:ext cx="2200275" cy="198120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9525</xdr:colOff>
      <xdr:row>40</xdr:row>
      <xdr:rowOff>0</xdr:rowOff>
    </xdr:from>
    <xdr:ext cx="2047875" cy="21621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9525</xdr:colOff>
      <xdr:row>40</xdr:row>
      <xdr:rowOff>0</xdr:rowOff>
    </xdr:from>
    <xdr:ext cx="2200275" cy="21621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</xdr:col>
      <xdr:colOff>1076325</xdr:colOff>
      <xdr:row>40</xdr:row>
      <xdr:rowOff>0</xdr:rowOff>
    </xdr:from>
    <xdr:ext cx="2200275" cy="21621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</xdr:col>
      <xdr:colOff>47625</xdr:colOff>
      <xdr:row>39</xdr:row>
      <xdr:rowOff>200025</xdr:rowOff>
    </xdr:from>
    <xdr:ext cx="2200275" cy="21621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9</xdr:col>
      <xdr:colOff>323850</xdr:colOff>
      <xdr:row>40</xdr:row>
      <xdr:rowOff>0</xdr:rowOff>
    </xdr:from>
    <xdr:ext cx="1838325" cy="21240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11</xdr:col>
      <xdr:colOff>352425</xdr:colOff>
      <xdr:row>40</xdr:row>
      <xdr:rowOff>38100</xdr:rowOff>
    </xdr:from>
    <xdr:ext cx="1838325" cy="21240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50</xdr:row>
      <xdr:rowOff>142875</xdr:rowOff>
    </xdr:from>
    <xdr:ext cx="2200275" cy="230505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0</xdr:col>
      <xdr:colOff>485775</xdr:colOff>
      <xdr:row>63</xdr:row>
      <xdr:rowOff>28575</xdr:rowOff>
    </xdr:from>
    <xdr:ext cx="5715000" cy="3533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7</xdr:col>
      <xdr:colOff>866775</xdr:colOff>
      <xdr:row>63</xdr:row>
      <xdr:rowOff>28575</xdr:rowOff>
    </xdr:from>
    <xdr:ext cx="57150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>
      <c r="A3" s="1" t="s">
        <v>12</v>
      </c>
      <c r="B3" s="1" t="b">
        <v>1</v>
      </c>
      <c r="C3" s="1" t="b">
        <v>1</v>
      </c>
      <c r="D3" s="1" t="b">
        <v>1</v>
      </c>
      <c r="E3" s="1" t="b">
        <v>1</v>
      </c>
      <c r="F3" s="1" t="b">
        <v>0</v>
      </c>
      <c r="G3" s="1" t="b">
        <v>0</v>
      </c>
      <c r="H3" s="1" t="b">
        <v>0</v>
      </c>
      <c r="I3" s="2">
        <f t="shared" ref="I3:I30" si="1">COUNTIF(B3:H3, TRUE)</f>
        <v>4</v>
      </c>
      <c r="J3" s="3">
        <f t="shared" ref="J3:J30" si="2">I3/7</f>
        <v>0.5714285714</v>
      </c>
      <c r="K3" s="2" t="b">
        <f t="shared" ref="K3:K30" si="3">AND(B3:H3)</f>
        <v>0</v>
      </c>
      <c r="L3" s="2" t="str">
        <f t="shared" ref="L3:L30" si="4">IF(K3=TRUE,"🔥","😴")</f>
        <v>😴</v>
      </c>
    </row>
    <row r="4">
      <c r="A4" s="1" t="s">
        <v>13</v>
      </c>
      <c r="B4" s="1" t="b">
        <v>0</v>
      </c>
      <c r="C4" s="1" t="b">
        <v>1</v>
      </c>
      <c r="D4" s="1" t="b">
        <v>1</v>
      </c>
      <c r="E4" s="1" t="b">
        <v>1</v>
      </c>
      <c r="F4" s="1" t="b">
        <v>0</v>
      </c>
      <c r="G4" s="1" t="b">
        <v>0</v>
      </c>
      <c r="H4" s="1" t="b">
        <v>0</v>
      </c>
      <c r="I4" s="2">
        <f t="shared" si="1"/>
        <v>3</v>
      </c>
      <c r="J4" s="3">
        <f t="shared" si="2"/>
        <v>0.4285714286</v>
      </c>
      <c r="K4" s="2" t="b">
        <f t="shared" si="3"/>
        <v>0</v>
      </c>
      <c r="L4" s="2" t="str">
        <f t="shared" si="4"/>
        <v>😴</v>
      </c>
    </row>
    <row r="5">
      <c r="A5" s="1" t="s">
        <v>14</v>
      </c>
      <c r="B5" s="1" t="b">
        <v>0</v>
      </c>
      <c r="C5" s="1" t="b">
        <v>1</v>
      </c>
      <c r="D5" s="1" t="b">
        <v>0</v>
      </c>
      <c r="E5" s="1" t="b">
        <v>1</v>
      </c>
      <c r="F5" s="1" t="b">
        <v>0</v>
      </c>
      <c r="G5" s="1" t="b">
        <v>0</v>
      </c>
      <c r="H5" s="1" t="b">
        <v>0</v>
      </c>
      <c r="I5" s="2">
        <f t="shared" si="1"/>
        <v>2</v>
      </c>
      <c r="J5" s="3">
        <f t="shared" si="2"/>
        <v>0.2857142857</v>
      </c>
      <c r="K5" s="2" t="b">
        <f t="shared" si="3"/>
        <v>0</v>
      </c>
      <c r="L5" s="2" t="str">
        <f t="shared" si="4"/>
        <v>😴</v>
      </c>
    </row>
    <row r="6">
      <c r="A6" s="1" t="s">
        <v>15</v>
      </c>
      <c r="B6" s="1" t="b">
        <v>1</v>
      </c>
      <c r="C6" s="1" t="b">
        <v>1</v>
      </c>
      <c r="D6" s="1" t="b">
        <v>1</v>
      </c>
      <c r="E6" s="1" t="b">
        <v>1</v>
      </c>
      <c r="F6" s="1" t="b">
        <v>0</v>
      </c>
      <c r="G6" s="1" t="b">
        <v>0</v>
      </c>
      <c r="H6" s="1" t="b">
        <v>0</v>
      </c>
      <c r="I6" s="2">
        <f t="shared" si="1"/>
        <v>4</v>
      </c>
      <c r="J6" s="3">
        <f t="shared" si="2"/>
        <v>0.5714285714</v>
      </c>
      <c r="K6" s="2" t="b">
        <f t="shared" si="3"/>
        <v>0</v>
      </c>
      <c r="L6" s="2" t="str">
        <f t="shared" si="4"/>
        <v>😴</v>
      </c>
    </row>
    <row r="7">
      <c r="A7" s="1" t="s">
        <v>16</v>
      </c>
      <c r="B7" s="1" t="b">
        <v>1</v>
      </c>
      <c r="C7" s="1" t="b">
        <v>1</v>
      </c>
      <c r="D7" s="1" t="b">
        <v>1</v>
      </c>
      <c r="E7" s="1" t="b">
        <v>1</v>
      </c>
      <c r="F7" s="1" t="b">
        <v>0</v>
      </c>
      <c r="G7" s="1" t="b">
        <v>0</v>
      </c>
      <c r="H7" s="1" t="b">
        <v>0</v>
      </c>
      <c r="I7" s="2">
        <f t="shared" si="1"/>
        <v>4</v>
      </c>
      <c r="J7" s="3">
        <f t="shared" si="2"/>
        <v>0.5714285714</v>
      </c>
      <c r="K7" s="2" t="b">
        <f t="shared" si="3"/>
        <v>0</v>
      </c>
      <c r="L7" s="2" t="str">
        <f t="shared" si="4"/>
        <v>😴</v>
      </c>
    </row>
    <row r="8">
      <c r="A8" s="1" t="s">
        <v>17</v>
      </c>
      <c r="B8" s="1" t="b">
        <v>1</v>
      </c>
      <c r="C8" s="1" t="b">
        <v>1</v>
      </c>
      <c r="D8" s="1" t="b">
        <v>1</v>
      </c>
      <c r="E8" s="1" t="b">
        <v>1</v>
      </c>
      <c r="F8" s="1" t="b">
        <v>0</v>
      </c>
      <c r="G8" s="1" t="b">
        <v>0</v>
      </c>
      <c r="H8" s="1" t="b">
        <v>0</v>
      </c>
      <c r="I8" s="2">
        <f t="shared" si="1"/>
        <v>4</v>
      </c>
      <c r="J8" s="3">
        <f t="shared" si="2"/>
        <v>0.5714285714</v>
      </c>
      <c r="K8" s="2" t="b">
        <f t="shared" si="3"/>
        <v>0</v>
      </c>
      <c r="L8" s="2" t="str">
        <f t="shared" si="4"/>
        <v>😴</v>
      </c>
    </row>
    <row r="9">
      <c r="A9" s="1" t="s">
        <v>18</v>
      </c>
      <c r="B9" s="1" t="b">
        <v>0</v>
      </c>
      <c r="C9" s="1" t="b">
        <v>1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  <c r="I9" s="2">
        <f t="shared" si="1"/>
        <v>1</v>
      </c>
      <c r="J9" s="3">
        <f t="shared" si="2"/>
        <v>0.1428571429</v>
      </c>
      <c r="K9" s="2" t="b">
        <f t="shared" si="3"/>
        <v>0</v>
      </c>
      <c r="L9" s="2" t="str">
        <f t="shared" si="4"/>
        <v>😴</v>
      </c>
    </row>
    <row r="10">
      <c r="A10" s="1" t="s">
        <v>19</v>
      </c>
      <c r="B10" s="1" t="b">
        <v>1</v>
      </c>
      <c r="C10" s="1" t="b">
        <v>1</v>
      </c>
      <c r="D10" s="1" t="b">
        <v>1</v>
      </c>
      <c r="E10" s="1" t="b">
        <v>1</v>
      </c>
      <c r="F10" s="1" t="b">
        <v>0</v>
      </c>
      <c r="G10" s="1" t="b">
        <v>0</v>
      </c>
      <c r="H10" s="1" t="b">
        <v>0</v>
      </c>
      <c r="I10" s="2">
        <f t="shared" si="1"/>
        <v>4</v>
      </c>
      <c r="J10" s="3">
        <f t="shared" si="2"/>
        <v>0.5714285714</v>
      </c>
      <c r="K10" s="2" t="b">
        <f t="shared" si="3"/>
        <v>0</v>
      </c>
      <c r="L10" s="2" t="str">
        <f t="shared" si="4"/>
        <v>😴</v>
      </c>
    </row>
    <row r="11">
      <c r="A11" s="1" t="s">
        <v>20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  <c r="I11" s="2">
        <f t="shared" si="1"/>
        <v>0</v>
      </c>
      <c r="J11" s="3">
        <f t="shared" si="2"/>
        <v>0</v>
      </c>
      <c r="K11" s="2" t="b">
        <f t="shared" si="3"/>
        <v>0</v>
      </c>
      <c r="L11" s="2" t="str">
        <f t="shared" si="4"/>
        <v>😴</v>
      </c>
    </row>
    <row r="12">
      <c r="A12" s="1" t="s">
        <v>21</v>
      </c>
      <c r="B12" s="1" t="b">
        <v>1</v>
      </c>
      <c r="C12" s="1" t="b">
        <v>1</v>
      </c>
      <c r="D12" s="1" t="b">
        <v>1</v>
      </c>
      <c r="E12" s="1" t="b">
        <v>1</v>
      </c>
      <c r="F12" s="1" t="b">
        <v>0</v>
      </c>
      <c r="G12" s="1" t="b">
        <v>0</v>
      </c>
      <c r="H12" s="1" t="b">
        <v>0</v>
      </c>
      <c r="I12" s="2">
        <f t="shared" si="1"/>
        <v>4</v>
      </c>
      <c r="J12" s="3">
        <f t="shared" si="2"/>
        <v>0.5714285714</v>
      </c>
      <c r="K12" s="2" t="b">
        <f t="shared" si="3"/>
        <v>0</v>
      </c>
      <c r="L12" s="2" t="str">
        <f t="shared" si="4"/>
        <v>😴</v>
      </c>
    </row>
    <row r="13">
      <c r="A13" s="1" t="s">
        <v>22</v>
      </c>
      <c r="B13" s="1" t="b">
        <v>1</v>
      </c>
      <c r="C13" s="1" t="b">
        <v>1</v>
      </c>
      <c r="D13" s="1" t="b">
        <v>1</v>
      </c>
      <c r="E13" s="1" t="b">
        <v>1</v>
      </c>
      <c r="F13" s="1" t="b">
        <v>0</v>
      </c>
      <c r="G13" s="1" t="b">
        <v>0</v>
      </c>
      <c r="H13" s="1" t="b">
        <v>0</v>
      </c>
      <c r="I13" s="2">
        <f t="shared" si="1"/>
        <v>4</v>
      </c>
      <c r="J13" s="3">
        <f t="shared" si="2"/>
        <v>0.5714285714</v>
      </c>
      <c r="K13" s="2" t="b">
        <f t="shared" si="3"/>
        <v>0</v>
      </c>
      <c r="L13" s="2" t="str">
        <f t="shared" si="4"/>
        <v>😴</v>
      </c>
    </row>
    <row r="14">
      <c r="A14" s="1" t="s">
        <v>23</v>
      </c>
      <c r="B14" s="1" t="b">
        <v>0</v>
      </c>
      <c r="C14" s="1" t="b">
        <v>0</v>
      </c>
      <c r="D14" s="1" t="b">
        <v>1</v>
      </c>
      <c r="E14" s="1" t="b">
        <v>0</v>
      </c>
      <c r="F14" s="1" t="b">
        <v>0</v>
      </c>
      <c r="G14" s="1" t="b">
        <v>0</v>
      </c>
      <c r="H14" s="1" t="b">
        <v>0</v>
      </c>
      <c r="I14" s="2">
        <f t="shared" si="1"/>
        <v>1</v>
      </c>
      <c r="J14" s="3">
        <f t="shared" si="2"/>
        <v>0.1428571429</v>
      </c>
      <c r="K14" s="2" t="b">
        <f t="shared" si="3"/>
        <v>0</v>
      </c>
      <c r="L14" s="2" t="str">
        <f t="shared" si="4"/>
        <v>😴</v>
      </c>
    </row>
    <row r="15">
      <c r="A15" s="1" t="s">
        <v>24</v>
      </c>
      <c r="B15" s="1" t="b">
        <v>1</v>
      </c>
      <c r="C15" s="1" t="b">
        <v>1</v>
      </c>
      <c r="D15" s="1" t="b">
        <v>1</v>
      </c>
      <c r="E15" s="1" t="b">
        <v>1</v>
      </c>
      <c r="F15" s="1" t="b">
        <v>0</v>
      </c>
      <c r="G15" s="1" t="b">
        <v>0</v>
      </c>
      <c r="H15" s="1" t="b">
        <v>0</v>
      </c>
      <c r="I15" s="2">
        <f t="shared" si="1"/>
        <v>4</v>
      </c>
      <c r="J15" s="3">
        <f t="shared" si="2"/>
        <v>0.5714285714</v>
      </c>
      <c r="K15" s="2" t="b">
        <f t="shared" si="3"/>
        <v>0</v>
      </c>
      <c r="L15" s="2" t="str">
        <f t="shared" si="4"/>
        <v>😴</v>
      </c>
    </row>
    <row r="16">
      <c r="A16" s="1" t="s">
        <v>25</v>
      </c>
      <c r="B16" s="1" t="b">
        <v>0</v>
      </c>
      <c r="C16" s="1" t="b">
        <v>0</v>
      </c>
      <c r="D16" s="1" t="b">
        <v>1</v>
      </c>
      <c r="E16" s="1" t="b">
        <v>0</v>
      </c>
      <c r="F16" s="1" t="b">
        <v>0</v>
      </c>
      <c r="G16" s="1" t="b">
        <v>0</v>
      </c>
      <c r="H16" s="1" t="b">
        <v>0</v>
      </c>
      <c r="I16" s="2">
        <f t="shared" si="1"/>
        <v>1</v>
      </c>
      <c r="J16" s="3">
        <f t="shared" si="2"/>
        <v>0.1428571429</v>
      </c>
      <c r="K16" s="2" t="b">
        <f t="shared" si="3"/>
        <v>0</v>
      </c>
      <c r="L16" s="2" t="str">
        <f t="shared" si="4"/>
        <v>😴</v>
      </c>
    </row>
    <row r="17">
      <c r="A17" s="1" t="s">
        <v>26</v>
      </c>
      <c r="B17" s="1" t="b">
        <v>0</v>
      </c>
      <c r="C17" s="1" t="b">
        <v>1</v>
      </c>
      <c r="D17" s="1" t="b">
        <v>1</v>
      </c>
      <c r="E17" s="1" t="b">
        <v>1</v>
      </c>
      <c r="F17" s="1" t="b">
        <v>0</v>
      </c>
      <c r="G17" s="1" t="b">
        <v>0</v>
      </c>
      <c r="H17" s="1" t="b">
        <v>0</v>
      </c>
      <c r="I17" s="2">
        <f t="shared" si="1"/>
        <v>3</v>
      </c>
      <c r="J17" s="3">
        <f t="shared" si="2"/>
        <v>0.4285714286</v>
      </c>
      <c r="K17" s="2" t="b">
        <f t="shared" si="3"/>
        <v>0</v>
      </c>
      <c r="L17" s="2" t="str">
        <f t="shared" si="4"/>
        <v>😴</v>
      </c>
    </row>
    <row r="18">
      <c r="A18" s="1" t="s">
        <v>27</v>
      </c>
      <c r="B18" s="1" t="b">
        <v>0</v>
      </c>
      <c r="C18" s="1" t="b">
        <v>1</v>
      </c>
      <c r="D18" s="1" t="b">
        <v>1</v>
      </c>
      <c r="E18" s="1" t="b">
        <v>1</v>
      </c>
      <c r="F18" s="1" t="b">
        <v>0</v>
      </c>
      <c r="G18" s="1" t="b">
        <v>0</v>
      </c>
      <c r="H18" s="1" t="b">
        <v>0</v>
      </c>
      <c r="I18" s="2">
        <f t="shared" si="1"/>
        <v>3</v>
      </c>
      <c r="J18" s="3">
        <f t="shared" si="2"/>
        <v>0.4285714286</v>
      </c>
      <c r="K18" s="2" t="b">
        <f t="shared" si="3"/>
        <v>0</v>
      </c>
      <c r="L18" s="2" t="str">
        <f t="shared" si="4"/>
        <v>😴</v>
      </c>
    </row>
    <row r="19">
      <c r="A19" s="1" t="s">
        <v>28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  <c r="I19" s="2">
        <f t="shared" si="1"/>
        <v>0</v>
      </c>
      <c r="J19" s="3">
        <f t="shared" si="2"/>
        <v>0</v>
      </c>
      <c r="K19" s="2" t="b">
        <f t="shared" si="3"/>
        <v>0</v>
      </c>
      <c r="L19" s="2" t="str">
        <f t="shared" si="4"/>
        <v>😴</v>
      </c>
    </row>
    <row r="20">
      <c r="A20" s="1" t="s">
        <v>29</v>
      </c>
      <c r="B20" s="1" t="b">
        <v>1</v>
      </c>
      <c r="C20" s="1" t="b">
        <v>1</v>
      </c>
      <c r="D20" s="1" t="b">
        <v>1</v>
      </c>
      <c r="E20" s="1" t="b">
        <v>1</v>
      </c>
      <c r="F20" s="1" t="b">
        <v>0</v>
      </c>
      <c r="G20" s="1" t="b">
        <v>0</v>
      </c>
      <c r="H20" s="1" t="b">
        <v>0</v>
      </c>
      <c r="I20" s="2">
        <f t="shared" si="1"/>
        <v>4</v>
      </c>
      <c r="J20" s="3">
        <f t="shared" si="2"/>
        <v>0.5714285714</v>
      </c>
      <c r="K20" s="2" t="b">
        <f t="shared" si="3"/>
        <v>0</v>
      </c>
      <c r="L20" s="2" t="str">
        <f t="shared" si="4"/>
        <v>😴</v>
      </c>
    </row>
    <row r="21">
      <c r="A21" s="1" t="s">
        <v>30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  <c r="I21" s="2">
        <f t="shared" si="1"/>
        <v>0</v>
      </c>
      <c r="J21" s="3">
        <f t="shared" si="2"/>
        <v>0</v>
      </c>
      <c r="K21" s="2" t="b">
        <f t="shared" si="3"/>
        <v>0</v>
      </c>
      <c r="L21" s="2" t="str">
        <f t="shared" si="4"/>
        <v>😴</v>
      </c>
    </row>
    <row r="22">
      <c r="A22" s="1" t="s">
        <v>31</v>
      </c>
      <c r="B22" s="1" t="b">
        <v>0</v>
      </c>
      <c r="C22" s="1" t="b">
        <v>0</v>
      </c>
      <c r="D22" s="1" t="b">
        <v>0</v>
      </c>
      <c r="E22" s="1" t="b">
        <v>0</v>
      </c>
      <c r="F22" s="1" t="b">
        <v>0</v>
      </c>
      <c r="G22" s="1" t="b">
        <v>0</v>
      </c>
      <c r="H22" s="1" t="b">
        <v>0</v>
      </c>
      <c r="I22" s="2">
        <f t="shared" si="1"/>
        <v>0</v>
      </c>
      <c r="J22" s="3">
        <f t="shared" si="2"/>
        <v>0</v>
      </c>
      <c r="K22" s="2" t="b">
        <f t="shared" si="3"/>
        <v>0</v>
      </c>
      <c r="L22" s="2" t="str">
        <f t="shared" si="4"/>
        <v>😴</v>
      </c>
    </row>
    <row r="23">
      <c r="A23" s="1" t="s">
        <v>32</v>
      </c>
      <c r="B23" s="1" t="b">
        <v>0</v>
      </c>
      <c r="C23" s="1" t="b">
        <v>0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0</v>
      </c>
      <c r="I23" s="2">
        <f t="shared" si="1"/>
        <v>0</v>
      </c>
      <c r="J23" s="3">
        <f t="shared" si="2"/>
        <v>0</v>
      </c>
      <c r="K23" s="2" t="b">
        <f t="shared" si="3"/>
        <v>0</v>
      </c>
      <c r="L23" s="2" t="str">
        <f t="shared" si="4"/>
        <v>😴</v>
      </c>
    </row>
    <row r="24">
      <c r="A24" s="1" t="s">
        <v>33</v>
      </c>
      <c r="B24" s="1" t="b">
        <v>0</v>
      </c>
      <c r="C24" s="1" t="b">
        <v>0</v>
      </c>
      <c r="D24" s="1" t="b">
        <v>0</v>
      </c>
      <c r="E24" s="1" t="b">
        <v>0</v>
      </c>
      <c r="F24" s="1" t="b">
        <v>0</v>
      </c>
      <c r="G24" s="1" t="b">
        <v>0</v>
      </c>
      <c r="H24" s="1" t="b">
        <v>0</v>
      </c>
      <c r="I24" s="2">
        <f t="shared" si="1"/>
        <v>0</v>
      </c>
      <c r="J24" s="3">
        <f t="shared" si="2"/>
        <v>0</v>
      </c>
      <c r="K24" s="2" t="b">
        <f t="shared" si="3"/>
        <v>0</v>
      </c>
      <c r="L24" s="2" t="str">
        <f t="shared" si="4"/>
        <v>😴</v>
      </c>
    </row>
    <row r="25">
      <c r="A25" s="1" t="s">
        <v>34</v>
      </c>
      <c r="B25" s="1" t="b">
        <v>0</v>
      </c>
      <c r="C25" s="1" t="b">
        <v>0</v>
      </c>
      <c r="D25" s="1" t="b">
        <v>0</v>
      </c>
      <c r="E25" s="1" t="b">
        <v>0</v>
      </c>
      <c r="F25" s="1" t="b">
        <v>0</v>
      </c>
      <c r="G25" s="1" t="b">
        <v>0</v>
      </c>
      <c r="H25" s="1" t="b">
        <v>0</v>
      </c>
      <c r="I25" s="2">
        <f t="shared" si="1"/>
        <v>0</v>
      </c>
      <c r="J25" s="3">
        <f t="shared" si="2"/>
        <v>0</v>
      </c>
      <c r="K25" s="2" t="b">
        <f t="shared" si="3"/>
        <v>0</v>
      </c>
      <c r="L25" s="2" t="str">
        <f t="shared" si="4"/>
        <v>😴</v>
      </c>
    </row>
    <row r="26">
      <c r="A26" s="1" t="s">
        <v>35</v>
      </c>
      <c r="B26" s="1" t="b">
        <v>1</v>
      </c>
      <c r="C26" s="1" t="b">
        <v>1</v>
      </c>
      <c r="D26" s="1" t="b">
        <v>1</v>
      </c>
      <c r="E26" s="1" t="b">
        <v>1</v>
      </c>
      <c r="F26" s="1" t="b">
        <v>0</v>
      </c>
      <c r="G26" s="1" t="b">
        <v>0</v>
      </c>
      <c r="H26" s="1" t="b">
        <v>0</v>
      </c>
      <c r="I26" s="2">
        <f t="shared" si="1"/>
        <v>4</v>
      </c>
      <c r="J26" s="3">
        <f t="shared" si="2"/>
        <v>0.5714285714</v>
      </c>
      <c r="K26" s="2" t="b">
        <f t="shared" si="3"/>
        <v>0</v>
      </c>
      <c r="L26" s="2" t="str">
        <f t="shared" si="4"/>
        <v>😴</v>
      </c>
    </row>
    <row r="27">
      <c r="A27" s="1" t="s">
        <v>36</v>
      </c>
      <c r="B27" s="1" t="b">
        <v>1</v>
      </c>
      <c r="C27" s="1" t="b">
        <v>1</v>
      </c>
      <c r="D27" s="1" t="b">
        <v>1</v>
      </c>
      <c r="E27" s="1" t="b">
        <v>1</v>
      </c>
      <c r="F27" s="1" t="b">
        <v>0</v>
      </c>
      <c r="G27" s="1" t="b">
        <v>0</v>
      </c>
      <c r="H27" s="1" t="b">
        <v>0</v>
      </c>
      <c r="I27" s="2">
        <f t="shared" si="1"/>
        <v>4</v>
      </c>
      <c r="J27" s="3">
        <f t="shared" si="2"/>
        <v>0.5714285714</v>
      </c>
      <c r="K27" s="2" t="b">
        <f t="shared" si="3"/>
        <v>0</v>
      </c>
      <c r="L27" s="2" t="str">
        <f t="shared" si="4"/>
        <v>😴</v>
      </c>
    </row>
    <row r="28">
      <c r="A28" s="1" t="s">
        <v>37</v>
      </c>
      <c r="B28" s="1" t="b">
        <v>1</v>
      </c>
      <c r="C28" s="1" t="b">
        <v>1</v>
      </c>
      <c r="D28" s="1" t="b">
        <v>1</v>
      </c>
      <c r="E28" s="1" t="b">
        <v>1</v>
      </c>
      <c r="F28" s="1" t="b">
        <v>0</v>
      </c>
      <c r="G28" s="1" t="b">
        <v>0</v>
      </c>
      <c r="H28" s="1" t="b">
        <v>0</v>
      </c>
      <c r="I28" s="2">
        <f t="shared" si="1"/>
        <v>4</v>
      </c>
      <c r="J28" s="3">
        <f t="shared" si="2"/>
        <v>0.5714285714</v>
      </c>
      <c r="K28" s="2" t="b">
        <f t="shared" si="3"/>
        <v>0</v>
      </c>
      <c r="L28" s="2" t="str">
        <f t="shared" si="4"/>
        <v>😴</v>
      </c>
    </row>
    <row r="29">
      <c r="A29" s="1" t="s">
        <v>38</v>
      </c>
      <c r="B29" s="1" t="b">
        <v>1</v>
      </c>
      <c r="C29" s="1" t="b">
        <v>1</v>
      </c>
      <c r="D29" s="1" t="b">
        <v>1</v>
      </c>
      <c r="E29" s="1" t="b">
        <v>0</v>
      </c>
      <c r="F29" s="1" t="b">
        <v>0</v>
      </c>
      <c r="G29" s="1" t="b">
        <v>0</v>
      </c>
      <c r="H29" s="1" t="b">
        <v>0</v>
      </c>
      <c r="I29" s="2">
        <f t="shared" si="1"/>
        <v>3</v>
      </c>
      <c r="J29" s="3">
        <f t="shared" si="2"/>
        <v>0.4285714286</v>
      </c>
      <c r="K29" s="2" t="b">
        <f t="shared" si="3"/>
        <v>0</v>
      </c>
      <c r="L29" s="2" t="str">
        <f t="shared" si="4"/>
        <v>😴</v>
      </c>
    </row>
    <row r="30">
      <c r="A30" s="1" t="s">
        <v>39</v>
      </c>
      <c r="B30" s="1" t="b">
        <v>1</v>
      </c>
      <c r="C30" s="1" t="b">
        <v>1</v>
      </c>
      <c r="D30" s="1" t="b">
        <v>1</v>
      </c>
      <c r="E30" s="1" t="b">
        <v>1</v>
      </c>
      <c r="F30" s="1" t="b">
        <v>0</v>
      </c>
      <c r="G30" s="1" t="b">
        <v>0</v>
      </c>
      <c r="H30" s="1" t="b">
        <v>0</v>
      </c>
      <c r="I30" s="2">
        <f t="shared" si="1"/>
        <v>4</v>
      </c>
      <c r="J30" s="3">
        <f t="shared" si="2"/>
        <v>0.5714285714</v>
      </c>
      <c r="K30" s="2" t="b">
        <f t="shared" si="3"/>
        <v>0</v>
      </c>
      <c r="L30" s="2" t="str">
        <f t="shared" si="4"/>
        <v>😴</v>
      </c>
    </row>
    <row r="31">
      <c r="A31" s="1"/>
    </row>
    <row r="32">
      <c r="A32" s="1" t="s">
        <v>10</v>
      </c>
      <c r="B32" s="2" t="b">
        <f t="shared" ref="B32:F32" si="5">AND(B3:B19)</f>
        <v>0</v>
      </c>
      <c r="C32" s="2" t="b">
        <f t="shared" si="5"/>
        <v>0</v>
      </c>
      <c r="D32" s="2" t="b">
        <f t="shared" si="5"/>
        <v>0</v>
      </c>
      <c r="E32" s="2" t="b">
        <f t="shared" si="5"/>
        <v>0</v>
      </c>
      <c r="F32" s="2" t="b">
        <f t="shared" si="5"/>
        <v>0</v>
      </c>
      <c r="G32" s="2" t="b">
        <f>AND(F3:F19)</f>
        <v>0</v>
      </c>
      <c r="H32" s="2" t="b">
        <f>AND(H3:H19)</f>
        <v>0</v>
      </c>
    </row>
    <row r="33">
      <c r="A33" s="1" t="s">
        <v>11</v>
      </c>
      <c r="B33" s="2" t="str">
        <f t="shared" ref="B33:H33" si="6">IF(B32=TRUE,"🔥","😴")</f>
        <v>😴</v>
      </c>
      <c r="C33" s="2" t="str">
        <f t="shared" si="6"/>
        <v>😴</v>
      </c>
      <c r="D33" s="2" t="str">
        <f t="shared" si="6"/>
        <v>😴</v>
      </c>
      <c r="E33" s="2" t="str">
        <f t="shared" si="6"/>
        <v>😴</v>
      </c>
      <c r="F33" s="2" t="str">
        <f t="shared" si="6"/>
        <v>😴</v>
      </c>
      <c r="G33" s="2" t="str">
        <f t="shared" si="6"/>
        <v>😴</v>
      </c>
      <c r="H33" s="2" t="str">
        <f t="shared" si="6"/>
        <v>😴</v>
      </c>
    </row>
    <row r="34">
      <c r="K34" s="1" t="s">
        <v>40</v>
      </c>
    </row>
    <row r="35">
      <c r="K35" s="1" t="s">
        <v>41</v>
      </c>
    </row>
    <row r="40">
      <c r="A40" s="4" t="s">
        <v>42</v>
      </c>
    </row>
    <row r="43">
      <c r="G43" s="1" t="s">
        <v>1</v>
      </c>
      <c r="H43" s="1" t="s">
        <v>2</v>
      </c>
      <c r="I43" s="1" t="s">
        <v>3</v>
      </c>
      <c r="J43" s="1" t="s">
        <v>4</v>
      </c>
      <c r="K43" s="1" t="s">
        <v>5</v>
      </c>
      <c r="L43" s="1" t="s">
        <v>6</v>
      </c>
      <c r="M43" s="1" t="s">
        <v>7</v>
      </c>
    </row>
    <row r="44">
      <c r="F44" s="1" t="s">
        <v>43</v>
      </c>
      <c r="G44" s="5">
        <f>COUNTIF(Daily!B$3:B$30, TRUE) / COUNTA(Daily!B$3:B$30)</f>
        <v>0.5</v>
      </c>
      <c r="H44" s="5">
        <f>COUNTIF(Daily!C$3:C$30, TRUE) / COUNTA(Daily!C$3:C$30)</f>
        <v>0.6785714286</v>
      </c>
      <c r="I44" s="5">
        <f>COUNTIF(Daily!D$3:D$30, TRUE) / COUNTA(Daily!D$3:D$30)</f>
        <v>0.6785714286</v>
      </c>
      <c r="J44" s="5">
        <f>COUNTIF(Daily!E$3:E$30, TRUE) / COUNTA(Daily!E$3:E$30)</f>
        <v>0.6071428571</v>
      </c>
      <c r="K44" s="5">
        <f>COUNTIF(Daily!F$3:F$30, TRUE) / COUNTA(Daily!F$3:F$30)</f>
        <v>0</v>
      </c>
      <c r="L44" s="5">
        <f>COUNTIF(Daily!G$3:G$30, TRUE) / COUNTA(Daily!G$3:G$30)</f>
        <v>0</v>
      </c>
      <c r="M44" s="5">
        <f>COUNTIF(Daily!H$3:H$30, TRUE) / COUNTA(Daily!H$3:H$30)</f>
        <v>0</v>
      </c>
    </row>
    <row r="45">
      <c r="F45" s="1" t="s">
        <v>44</v>
      </c>
      <c r="G45" s="6">
        <f t="shared" ref="G45:M45" si="7">1-G44</f>
        <v>0.5</v>
      </c>
      <c r="H45" s="6">
        <f t="shared" si="7"/>
        <v>0.3214285714</v>
      </c>
      <c r="I45" s="6">
        <f t="shared" si="7"/>
        <v>0.3214285714</v>
      </c>
      <c r="J45" s="6">
        <f t="shared" si="7"/>
        <v>0.3928571429</v>
      </c>
      <c r="K45" s="6">
        <f t="shared" si="7"/>
        <v>1</v>
      </c>
      <c r="L45" s="6">
        <f t="shared" si="7"/>
        <v>1</v>
      </c>
      <c r="M45" s="6">
        <f t="shared" si="7"/>
        <v>1</v>
      </c>
    </row>
    <row r="47">
      <c r="F47" s="1" t="s">
        <v>45</v>
      </c>
      <c r="G47" s="3">
        <f t="shared" ref="G47:G48" si="8">AVERAGE(G44:M44)</f>
        <v>0.3520408163</v>
      </c>
    </row>
    <row r="48">
      <c r="F48" s="1" t="s">
        <v>46</v>
      </c>
      <c r="G48" s="3">
        <f t="shared" si="8"/>
        <v>0.6479591837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7" max="7" width="14.88"/>
    <col customWidth="1" min="8" max="8" width="14.75"/>
    <col customWidth="1" min="9" max="9" width="17.88"/>
    <col customWidth="1" min="10" max="10" width="14.88"/>
  </cols>
  <sheetData>
    <row r="1">
      <c r="A1" s="7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</row>
    <row r="2">
      <c r="A2" s="1">
        <v>2025.0</v>
      </c>
      <c r="B2" s="1" t="s">
        <v>56</v>
      </c>
      <c r="C2" s="8">
        <f t="array" ref="C2:C32">SEQUENCE(31,1,DATE(2025,12,1),1)</f>
        <v>45992</v>
      </c>
      <c r="D2" s="1" t="s">
        <v>1</v>
      </c>
      <c r="E2" s="1">
        <v>16.0</v>
      </c>
      <c r="F2" s="1">
        <v>28.0</v>
      </c>
      <c r="G2" s="2">
        <f t="shared" ref="G2:G32" si="1">(F2-E2)</f>
        <v>12</v>
      </c>
      <c r="H2" s="3">
        <f t="shared" ref="H2:H32" si="2">E2/F2</f>
        <v>0.5714285714</v>
      </c>
      <c r="I2" s="2">
        <f t="shared" ref="I2:I32" si="3">ROUND((E2/F2)*10,1)</f>
        <v>5.7</v>
      </c>
      <c r="J2" s="7" t="s">
        <v>57</v>
      </c>
      <c r="K2" s="3">
        <f>MAX(H2:H32)</f>
        <v>0.6785714286</v>
      </c>
    </row>
    <row r="3">
      <c r="C3" s="9">
        <v>45993.0</v>
      </c>
      <c r="D3" s="1" t="s">
        <v>2</v>
      </c>
      <c r="E3" s="1">
        <v>12.0</v>
      </c>
      <c r="F3" s="1">
        <v>28.0</v>
      </c>
      <c r="G3" s="2">
        <f t="shared" si="1"/>
        <v>16</v>
      </c>
      <c r="H3" s="3">
        <f t="shared" si="2"/>
        <v>0.4285714286</v>
      </c>
      <c r="I3" s="2">
        <f t="shared" si="3"/>
        <v>4.3</v>
      </c>
    </row>
    <row r="4">
      <c r="C4" s="9">
        <v>45994.0</v>
      </c>
      <c r="D4" s="1" t="s">
        <v>3</v>
      </c>
      <c r="E4" s="1">
        <v>10.0</v>
      </c>
      <c r="F4" s="1">
        <v>28.0</v>
      </c>
      <c r="G4" s="2">
        <f t="shared" si="1"/>
        <v>18</v>
      </c>
      <c r="H4" s="3">
        <f t="shared" si="2"/>
        <v>0.3571428571</v>
      </c>
      <c r="I4" s="2">
        <f t="shared" si="3"/>
        <v>3.6</v>
      </c>
      <c r="J4" s="7" t="s">
        <v>58</v>
      </c>
      <c r="K4" s="3">
        <f>MIN(H2:H32)</f>
        <v>0</v>
      </c>
    </row>
    <row r="5">
      <c r="C5" s="9">
        <v>45995.0</v>
      </c>
      <c r="D5" s="1" t="s">
        <v>4</v>
      </c>
      <c r="E5" s="1">
        <v>13.0</v>
      </c>
      <c r="F5" s="1">
        <v>28.0</v>
      </c>
      <c r="G5" s="2">
        <f t="shared" si="1"/>
        <v>15</v>
      </c>
      <c r="H5" s="3">
        <f t="shared" si="2"/>
        <v>0.4642857143</v>
      </c>
      <c r="I5" s="2">
        <f t="shared" si="3"/>
        <v>4.6</v>
      </c>
    </row>
    <row r="6">
      <c r="C6" s="9">
        <v>45996.0</v>
      </c>
      <c r="D6" s="1" t="s">
        <v>5</v>
      </c>
      <c r="E6" s="1">
        <v>14.0</v>
      </c>
      <c r="F6" s="1">
        <v>28.0</v>
      </c>
      <c r="G6" s="2">
        <f t="shared" si="1"/>
        <v>14</v>
      </c>
      <c r="H6" s="3">
        <f t="shared" si="2"/>
        <v>0.5</v>
      </c>
      <c r="I6" s="2">
        <f t="shared" si="3"/>
        <v>5</v>
      </c>
      <c r="J6" s="7" t="s">
        <v>59</v>
      </c>
      <c r="K6" s="3">
        <f>AVERAGE(H2:H32)</f>
        <v>0.1762672811</v>
      </c>
    </row>
    <row r="7">
      <c r="C7" s="9">
        <v>45997.0</v>
      </c>
      <c r="D7" s="1" t="s">
        <v>6</v>
      </c>
      <c r="E7" s="1">
        <v>19.0</v>
      </c>
      <c r="F7" s="1">
        <v>28.0</v>
      </c>
      <c r="G7" s="2">
        <f t="shared" si="1"/>
        <v>9</v>
      </c>
      <c r="H7" s="3">
        <f t="shared" si="2"/>
        <v>0.6785714286</v>
      </c>
      <c r="I7" s="2">
        <f t="shared" si="3"/>
        <v>6.8</v>
      </c>
    </row>
    <row r="8">
      <c r="C8" s="9">
        <v>45998.0</v>
      </c>
      <c r="D8" s="1" t="s">
        <v>7</v>
      </c>
      <c r="E8" s="1">
        <v>16.0</v>
      </c>
      <c r="F8" s="1">
        <v>28.0</v>
      </c>
      <c r="G8" s="2">
        <f t="shared" si="1"/>
        <v>12</v>
      </c>
      <c r="H8" s="3">
        <f t="shared" si="2"/>
        <v>0.5714285714</v>
      </c>
      <c r="I8" s="2">
        <f t="shared" si="3"/>
        <v>5.7</v>
      </c>
    </row>
    <row r="9">
      <c r="C9" s="9">
        <v>45999.0</v>
      </c>
      <c r="D9" s="1" t="s">
        <v>1</v>
      </c>
      <c r="E9" s="1">
        <v>15.0</v>
      </c>
      <c r="F9" s="1">
        <v>28.0</v>
      </c>
      <c r="G9" s="2">
        <f t="shared" si="1"/>
        <v>13</v>
      </c>
      <c r="H9" s="3">
        <f t="shared" si="2"/>
        <v>0.5357142857</v>
      </c>
      <c r="I9" s="2">
        <f t="shared" si="3"/>
        <v>5.4</v>
      </c>
    </row>
    <row r="10">
      <c r="C10" s="9">
        <v>46000.0</v>
      </c>
      <c r="D10" s="1" t="s">
        <v>2</v>
      </c>
      <c r="E10" s="1">
        <v>19.0</v>
      </c>
      <c r="F10" s="1">
        <v>28.0</v>
      </c>
      <c r="G10" s="2">
        <f t="shared" si="1"/>
        <v>9</v>
      </c>
      <c r="H10" s="3">
        <f t="shared" si="2"/>
        <v>0.6785714286</v>
      </c>
      <c r="I10" s="2">
        <f t="shared" si="3"/>
        <v>6.8</v>
      </c>
    </row>
    <row r="11">
      <c r="C11" s="9">
        <v>46001.0</v>
      </c>
      <c r="D11" s="1" t="s">
        <v>3</v>
      </c>
      <c r="E11" s="1">
        <v>19.0</v>
      </c>
      <c r="F11" s="1">
        <v>28.0</v>
      </c>
      <c r="G11" s="2">
        <f t="shared" si="1"/>
        <v>9</v>
      </c>
      <c r="H11" s="3">
        <f t="shared" si="2"/>
        <v>0.6785714286</v>
      </c>
      <c r="I11" s="2">
        <f t="shared" si="3"/>
        <v>6.8</v>
      </c>
    </row>
    <row r="12">
      <c r="C12" s="9">
        <v>46002.0</v>
      </c>
      <c r="D12" s="1" t="s">
        <v>4</v>
      </c>
      <c r="F12" s="1">
        <v>28.0</v>
      </c>
      <c r="G12" s="2">
        <f t="shared" si="1"/>
        <v>28</v>
      </c>
      <c r="H12" s="3">
        <f t="shared" si="2"/>
        <v>0</v>
      </c>
      <c r="I12" s="2">
        <f t="shared" si="3"/>
        <v>0</v>
      </c>
    </row>
    <row r="13">
      <c r="C13" s="9">
        <v>46003.0</v>
      </c>
      <c r="D13" s="1" t="s">
        <v>5</v>
      </c>
      <c r="F13" s="1">
        <v>28.0</v>
      </c>
      <c r="G13" s="2">
        <f t="shared" si="1"/>
        <v>28</v>
      </c>
      <c r="H13" s="3">
        <f t="shared" si="2"/>
        <v>0</v>
      </c>
      <c r="I13" s="2">
        <f t="shared" si="3"/>
        <v>0</v>
      </c>
    </row>
    <row r="14">
      <c r="C14" s="9">
        <v>46004.0</v>
      </c>
      <c r="D14" s="1" t="s">
        <v>6</v>
      </c>
      <c r="F14" s="1">
        <v>28.0</v>
      </c>
      <c r="G14" s="2">
        <f t="shared" si="1"/>
        <v>28</v>
      </c>
      <c r="H14" s="3">
        <f t="shared" si="2"/>
        <v>0</v>
      </c>
      <c r="I14" s="2">
        <f t="shared" si="3"/>
        <v>0</v>
      </c>
    </row>
    <row r="15">
      <c r="C15" s="9">
        <v>46005.0</v>
      </c>
      <c r="D15" s="1" t="s">
        <v>7</v>
      </c>
      <c r="F15" s="1">
        <v>28.0</v>
      </c>
      <c r="G15" s="2">
        <f t="shared" si="1"/>
        <v>28</v>
      </c>
      <c r="H15" s="3">
        <f t="shared" si="2"/>
        <v>0</v>
      </c>
      <c r="I15" s="2">
        <f t="shared" si="3"/>
        <v>0</v>
      </c>
    </row>
    <row r="16">
      <c r="C16" s="9">
        <v>46006.0</v>
      </c>
      <c r="D16" s="1" t="s">
        <v>1</v>
      </c>
      <c r="F16" s="1">
        <v>28.0</v>
      </c>
      <c r="G16" s="2">
        <f t="shared" si="1"/>
        <v>28</v>
      </c>
      <c r="H16" s="3">
        <f t="shared" si="2"/>
        <v>0</v>
      </c>
      <c r="I16" s="2">
        <f t="shared" si="3"/>
        <v>0</v>
      </c>
    </row>
    <row r="17">
      <c r="C17" s="9">
        <v>46007.0</v>
      </c>
      <c r="D17" s="1" t="s">
        <v>2</v>
      </c>
      <c r="F17" s="1">
        <v>28.0</v>
      </c>
      <c r="G17" s="2">
        <f t="shared" si="1"/>
        <v>28</v>
      </c>
      <c r="H17" s="3">
        <f t="shared" si="2"/>
        <v>0</v>
      </c>
      <c r="I17" s="2">
        <f t="shared" si="3"/>
        <v>0</v>
      </c>
    </row>
    <row r="18">
      <c r="C18" s="9">
        <v>46008.0</v>
      </c>
      <c r="D18" s="1" t="s">
        <v>3</v>
      </c>
      <c r="F18" s="1">
        <v>28.0</v>
      </c>
      <c r="G18" s="2">
        <f t="shared" si="1"/>
        <v>28</v>
      </c>
      <c r="H18" s="3">
        <f t="shared" si="2"/>
        <v>0</v>
      </c>
      <c r="I18" s="2">
        <f t="shared" si="3"/>
        <v>0</v>
      </c>
    </row>
    <row r="19">
      <c r="C19" s="9">
        <v>46009.0</v>
      </c>
      <c r="D19" s="1" t="s">
        <v>4</v>
      </c>
      <c r="F19" s="1">
        <v>28.0</v>
      </c>
      <c r="G19" s="2">
        <f t="shared" si="1"/>
        <v>28</v>
      </c>
      <c r="H19" s="3">
        <f t="shared" si="2"/>
        <v>0</v>
      </c>
      <c r="I19" s="2">
        <f t="shared" si="3"/>
        <v>0</v>
      </c>
    </row>
    <row r="20">
      <c r="C20" s="9">
        <v>46010.0</v>
      </c>
      <c r="D20" s="1" t="s">
        <v>5</v>
      </c>
      <c r="F20" s="1">
        <v>28.0</v>
      </c>
      <c r="G20" s="2">
        <f t="shared" si="1"/>
        <v>28</v>
      </c>
      <c r="H20" s="3">
        <f t="shared" si="2"/>
        <v>0</v>
      </c>
      <c r="I20" s="2">
        <f t="shared" si="3"/>
        <v>0</v>
      </c>
    </row>
    <row r="21">
      <c r="C21" s="9">
        <v>46011.0</v>
      </c>
      <c r="D21" s="1" t="s">
        <v>6</v>
      </c>
      <c r="F21" s="1">
        <v>28.0</v>
      </c>
      <c r="G21" s="2">
        <f t="shared" si="1"/>
        <v>28</v>
      </c>
      <c r="H21" s="3">
        <f t="shared" si="2"/>
        <v>0</v>
      </c>
      <c r="I21" s="2">
        <f t="shared" si="3"/>
        <v>0</v>
      </c>
    </row>
    <row r="22">
      <c r="C22" s="9">
        <v>46012.0</v>
      </c>
      <c r="D22" s="1" t="s">
        <v>7</v>
      </c>
      <c r="F22" s="1">
        <v>28.0</v>
      </c>
      <c r="G22" s="2">
        <f t="shared" si="1"/>
        <v>28</v>
      </c>
      <c r="H22" s="3">
        <f t="shared" si="2"/>
        <v>0</v>
      </c>
      <c r="I22" s="2">
        <f t="shared" si="3"/>
        <v>0</v>
      </c>
    </row>
    <row r="23">
      <c r="C23" s="9">
        <v>46013.0</v>
      </c>
      <c r="D23" s="1" t="s">
        <v>1</v>
      </c>
      <c r="F23" s="1">
        <v>28.0</v>
      </c>
      <c r="G23" s="2">
        <f t="shared" si="1"/>
        <v>28</v>
      </c>
      <c r="H23" s="3">
        <f t="shared" si="2"/>
        <v>0</v>
      </c>
      <c r="I23" s="2">
        <f t="shared" si="3"/>
        <v>0</v>
      </c>
    </row>
    <row r="24">
      <c r="C24" s="9">
        <v>46014.0</v>
      </c>
      <c r="D24" s="1" t="s">
        <v>2</v>
      </c>
      <c r="F24" s="1">
        <v>28.0</v>
      </c>
      <c r="G24" s="2">
        <f t="shared" si="1"/>
        <v>28</v>
      </c>
      <c r="H24" s="3">
        <f t="shared" si="2"/>
        <v>0</v>
      </c>
      <c r="I24" s="2">
        <f t="shared" si="3"/>
        <v>0</v>
      </c>
    </row>
    <row r="25">
      <c r="C25" s="9">
        <v>46015.0</v>
      </c>
      <c r="D25" s="1" t="s">
        <v>3</v>
      </c>
      <c r="F25" s="1">
        <v>28.0</v>
      </c>
      <c r="G25" s="2">
        <f t="shared" si="1"/>
        <v>28</v>
      </c>
      <c r="H25" s="3">
        <f t="shared" si="2"/>
        <v>0</v>
      </c>
      <c r="I25" s="2">
        <f t="shared" si="3"/>
        <v>0</v>
      </c>
    </row>
    <row r="26">
      <c r="C26" s="9">
        <v>46016.0</v>
      </c>
      <c r="D26" s="1" t="s">
        <v>4</v>
      </c>
      <c r="F26" s="1">
        <v>28.0</v>
      </c>
      <c r="G26" s="2">
        <f t="shared" si="1"/>
        <v>28</v>
      </c>
      <c r="H26" s="3">
        <f t="shared" si="2"/>
        <v>0</v>
      </c>
      <c r="I26" s="2">
        <f t="shared" si="3"/>
        <v>0</v>
      </c>
    </row>
    <row r="27">
      <c r="C27" s="9">
        <v>46017.0</v>
      </c>
      <c r="D27" s="1" t="s">
        <v>5</v>
      </c>
      <c r="F27" s="1">
        <v>28.0</v>
      </c>
      <c r="G27" s="2">
        <f t="shared" si="1"/>
        <v>28</v>
      </c>
      <c r="H27" s="3">
        <f t="shared" si="2"/>
        <v>0</v>
      </c>
      <c r="I27" s="2">
        <f t="shared" si="3"/>
        <v>0</v>
      </c>
    </row>
    <row r="28">
      <c r="C28" s="9">
        <v>46018.0</v>
      </c>
      <c r="D28" s="1" t="s">
        <v>6</v>
      </c>
      <c r="F28" s="1">
        <v>28.0</v>
      </c>
      <c r="G28" s="2">
        <f t="shared" si="1"/>
        <v>28</v>
      </c>
      <c r="H28" s="3">
        <f t="shared" si="2"/>
        <v>0</v>
      </c>
      <c r="I28" s="2">
        <f t="shared" si="3"/>
        <v>0</v>
      </c>
    </row>
    <row r="29">
      <c r="C29" s="9">
        <v>46019.0</v>
      </c>
      <c r="D29" s="1" t="s">
        <v>7</v>
      </c>
      <c r="F29" s="1">
        <v>28.0</v>
      </c>
      <c r="G29" s="2">
        <f t="shared" si="1"/>
        <v>28</v>
      </c>
      <c r="H29" s="3">
        <f t="shared" si="2"/>
        <v>0</v>
      </c>
      <c r="I29" s="2">
        <f t="shared" si="3"/>
        <v>0</v>
      </c>
    </row>
    <row r="30">
      <c r="C30" s="9">
        <v>46020.0</v>
      </c>
      <c r="D30" s="1" t="s">
        <v>1</v>
      </c>
      <c r="F30" s="1">
        <v>28.0</v>
      </c>
      <c r="G30" s="2">
        <f t="shared" si="1"/>
        <v>28</v>
      </c>
      <c r="H30" s="3">
        <f t="shared" si="2"/>
        <v>0</v>
      </c>
      <c r="I30" s="2">
        <f t="shared" si="3"/>
        <v>0</v>
      </c>
    </row>
    <row r="31">
      <c r="C31" s="9">
        <v>46021.0</v>
      </c>
      <c r="D31" s="1" t="s">
        <v>2</v>
      </c>
      <c r="F31" s="1">
        <v>28.0</v>
      </c>
      <c r="G31" s="2">
        <f t="shared" si="1"/>
        <v>28</v>
      </c>
      <c r="H31" s="3">
        <f t="shared" si="2"/>
        <v>0</v>
      </c>
      <c r="I31" s="2">
        <f t="shared" si="3"/>
        <v>0</v>
      </c>
    </row>
    <row r="32">
      <c r="C32" s="9">
        <v>46022.0</v>
      </c>
      <c r="D32" s="1" t="s">
        <v>3</v>
      </c>
      <c r="F32" s="1">
        <v>28.0</v>
      </c>
      <c r="G32" s="2">
        <f t="shared" si="1"/>
        <v>28</v>
      </c>
      <c r="H32" s="3">
        <f t="shared" si="2"/>
        <v>0</v>
      </c>
      <c r="I32" s="2">
        <f t="shared" si="3"/>
        <v>0</v>
      </c>
    </row>
    <row r="34">
      <c r="A34" s="1">
        <v>2026.0</v>
      </c>
      <c r="B34" s="1" t="s">
        <v>60</v>
      </c>
      <c r="C34" s="9">
        <f t="array" ref="C34:C64">SEQUENCE(31,1,DATE(2026,1,1),1)
</f>
        <v>46023</v>
      </c>
      <c r="D34" s="1" t="s">
        <v>4</v>
      </c>
      <c r="E34" s="1">
        <v>0.0</v>
      </c>
      <c r="F34" s="1">
        <v>0.0</v>
      </c>
      <c r="G34" s="2">
        <f t="shared" ref="G34:G64" si="4">(F34-E34)</f>
        <v>0</v>
      </c>
      <c r="H34" s="3" t="str">
        <f t="shared" ref="H34:H64" si="5">E34/F34</f>
        <v>#DIV/0!</v>
      </c>
      <c r="I34" s="2" t="str">
        <f t="shared" ref="I34:I64" si="6">ROUND((E34/F34)*10,1)</f>
        <v>#DIV/0!</v>
      </c>
      <c r="J34" s="7" t="s">
        <v>57</v>
      </c>
      <c r="K34" s="2" t="str">
        <f>MAX(H34:H64)</f>
        <v>#DIV/0!</v>
      </c>
    </row>
    <row r="35">
      <c r="C35" s="9">
        <v>46024.0</v>
      </c>
      <c r="D35" s="1" t="s">
        <v>5</v>
      </c>
      <c r="E35" s="1">
        <v>0.0</v>
      </c>
      <c r="F35" s="1">
        <v>0.0</v>
      </c>
      <c r="G35" s="2">
        <f t="shared" si="4"/>
        <v>0</v>
      </c>
      <c r="H35" s="3" t="str">
        <f t="shared" si="5"/>
        <v>#DIV/0!</v>
      </c>
      <c r="I35" s="2" t="str">
        <f t="shared" si="6"/>
        <v>#DIV/0!</v>
      </c>
      <c r="J35" s="7"/>
    </row>
    <row r="36">
      <c r="C36" s="9">
        <v>46025.0</v>
      </c>
      <c r="D36" s="1" t="s">
        <v>6</v>
      </c>
      <c r="E36" s="1">
        <v>0.0</v>
      </c>
      <c r="F36" s="1">
        <v>0.0</v>
      </c>
      <c r="G36" s="2">
        <f t="shared" si="4"/>
        <v>0</v>
      </c>
      <c r="H36" s="3" t="str">
        <f t="shared" si="5"/>
        <v>#DIV/0!</v>
      </c>
      <c r="I36" s="2" t="str">
        <f t="shared" si="6"/>
        <v>#DIV/0!</v>
      </c>
      <c r="J36" s="7" t="s">
        <v>58</v>
      </c>
      <c r="K36" s="2" t="str">
        <f>MIN(H34:H64)</f>
        <v>#DIV/0!</v>
      </c>
    </row>
    <row r="37">
      <c r="C37" s="9">
        <v>46026.0</v>
      </c>
      <c r="D37" s="1" t="s">
        <v>7</v>
      </c>
      <c r="E37" s="1">
        <v>0.0</v>
      </c>
      <c r="F37" s="1">
        <v>0.0</v>
      </c>
      <c r="G37" s="2">
        <f t="shared" si="4"/>
        <v>0</v>
      </c>
      <c r="H37" s="3" t="str">
        <f t="shared" si="5"/>
        <v>#DIV/0!</v>
      </c>
      <c r="I37" s="2" t="str">
        <f t="shared" si="6"/>
        <v>#DIV/0!</v>
      </c>
      <c r="J37" s="7"/>
    </row>
    <row r="38">
      <c r="C38" s="9">
        <v>46027.0</v>
      </c>
      <c r="D38" s="1" t="s">
        <v>1</v>
      </c>
      <c r="E38" s="1">
        <v>0.0</v>
      </c>
      <c r="F38" s="1">
        <v>0.0</v>
      </c>
      <c r="G38" s="2">
        <f t="shared" si="4"/>
        <v>0</v>
      </c>
      <c r="H38" s="3" t="str">
        <f t="shared" si="5"/>
        <v>#DIV/0!</v>
      </c>
      <c r="I38" s="2" t="str">
        <f t="shared" si="6"/>
        <v>#DIV/0!</v>
      </c>
      <c r="J38" s="7" t="s">
        <v>59</v>
      </c>
      <c r="K38" s="2" t="str">
        <f>AVERAGE(H34:H64)</f>
        <v>#DIV/0!</v>
      </c>
    </row>
    <row r="39">
      <c r="C39" s="9">
        <v>46028.0</v>
      </c>
      <c r="D39" s="1" t="s">
        <v>2</v>
      </c>
      <c r="E39" s="1">
        <v>0.0</v>
      </c>
      <c r="F39" s="1">
        <v>0.0</v>
      </c>
      <c r="G39" s="2">
        <f t="shared" si="4"/>
        <v>0</v>
      </c>
      <c r="H39" s="3" t="str">
        <f t="shared" si="5"/>
        <v>#DIV/0!</v>
      </c>
      <c r="I39" s="2" t="str">
        <f t="shared" si="6"/>
        <v>#DIV/0!</v>
      </c>
      <c r="J39" s="7"/>
    </row>
    <row r="40">
      <c r="C40" s="9">
        <v>46029.0</v>
      </c>
      <c r="D40" s="1" t="s">
        <v>3</v>
      </c>
      <c r="E40" s="1">
        <v>0.0</v>
      </c>
      <c r="F40" s="1">
        <v>0.0</v>
      </c>
      <c r="G40" s="2">
        <f t="shared" si="4"/>
        <v>0</v>
      </c>
      <c r="H40" s="3" t="str">
        <f t="shared" si="5"/>
        <v>#DIV/0!</v>
      </c>
      <c r="I40" s="2" t="str">
        <f t="shared" si="6"/>
        <v>#DIV/0!</v>
      </c>
    </row>
    <row r="41">
      <c r="C41" s="9">
        <v>46030.0</v>
      </c>
      <c r="D41" s="1" t="s">
        <v>4</v>
      </c>
      <c r="E41" s="1">
        <v>0.0</v>
      </c>
      <c r="F41" s="1">
        <v>0.0</v>
      </c>
      <c r="G41" s="2">
        <f t="shared" si="4"/>
        <v>0</v>
      </c>
      <c r="H41" s="3" t="str">
        <f t="shared" si="5"/>
        <v>#DIV/0!</v>
      </c>
      <c r="I41" s="2" t="str">
        <f t="shared" si="6"/>
        <v>#DIV/0!</v>
      </c>
    </row>
    <row r="42">
      <c r="C42" s="9">
        <v>46031.0</v>
      </c>
      <c r="D42" s="1" t="s">
        <v>5</v>
      </c>
      <c r="E42" s="1">
        <v>0.0</v>
      </c>
      <c r="F42" s="1">
        <v>0.0</v>
      </c>
      <c r="G42" s="2">
        <f t="shared" si="4"/>
        <v>0</v>
      </c>
      <c r="H42" s="3" t="str">
        <f t="shared" si="5"/>
        <v>#DIV/0!</v>
      </c>
      <c r="I42" s="2" t="str">
        <f t="shared" si="6"/>
        <v>#DIV/0!</v>
      </c>
    </row>
    <row r="43">
      <c r="C43" s="9">
        <v>46032.0</v>
      </c>
      <c r="D43" s="1" t="s">
        <v>6</v>
      </c>
      <c r="E43" s="1">
        <v>0.0</v>
      </c>
      <c r="F43" s="1">
        <v>0.0</v>
      </c>
      <c r="G43" s="2">
        <f t="shared" si="4"/>
        <v>0</v>
      </c>
      <c r="H43" s="3" t="str">
        <f t="shared" si="5"/>
        <v>#DIV/0!</v>
      </c>
      <c r="I43" s="2" t="str">
        <f t="shared" si="6"/>
        <v>#DIV/0!</v>
      </c>
    </row>
    <row r="44">
      <c r="C44" s="9">
        <v>46033.0</v>
      </c>
      <c r="D44" s="1" t="s">
        <v>7</v>
      </c>
      <c r="E44" s="1">
        <v>0.0</v>
      </c>
      <c r="F44" s="1">
        <v>0.0</v>
      </c>
      <c r="G44" s="2">
        <f t="shared" si="4"/>
        <v>0</v>
      </c>
      <c r="H44" s="3" t="str">
        <f t="shared" si="5"/>
        <v>#DIV/0!</v>
      </c>
      <c r="I44" s="2" t="str">
        <f t="shared" si="6"/>
        <v>#DIV/0!</v>
      </c>
    </row>
    <row r="45">
      <c r="C45" s="9">
        <v>46034.0</v>
      </c>
      <c r="D45" s="1" t="s">
        <v>1</v>
      </c>
      <c r="E45" s="1">
        <v>0.0</v>
      </c>
      <c r="F45" s="1">
        <v>0.0</v>
      </c>
      <c r="G45" s="2">
        <f t="shared" si="4"/>
        <v>0</v>
      </c>
      <c r="H45" s="3" t="str">
        <f t="shared" si="5"/>
        <v>#DIV/0!</v>
      </c>
      <c r="I45" s="2" t="str">
        <f t="shared" si="6"/>
        <v>#DIV/0!</v>
      </c>
    </row>
    <row r="46">
      <c r="C46" s="9">
        <v>46035.0</v>
      </c>
      <c r="D46" s="1" t="s">
        <v>2</v>
      </c>
      <c r="E46" s="1">
        <v>0.0</v>
      </c>
      <c r="F46" s="1">
        <v>0.0</v>
      </c>
      <c r="G46" s="2">
        <f t="shared" si="4"/>
        <v>0</v>
      </c>
      <c r="H46" s="3" t="str">
        <f t="shared" si="5"/>
        <v>#DIV/0!</v>
      </c>
      <c r="I46" s="2" t="str">
        <f t="shared" si="6"/>
        <v>#DIV/0!</v>
      </c>
    </row>
    <row r="47">
      <c r="C47" s="9">
        <v>46036.0</v>
      </c>
      <c r="D47" s="1" t="s">
        <v>3</v>
      </c>
      <c r="E47" s="1">
        <v>0.0</v>
      </c>
      <c r="F47" s="1">
        <v>0.0</v>
      </c>
      <c r="G47" s="2">
        <f t="shared" si="4"/>
        <v>0</v>
      </c>
      <c r="H47" s="3" t="str">
        <f t="shared" si="5"/>
        <v>#DIV/0!</v>
      </c>
      <c r="I47" s="2" t="str">
        <f t="shared" si="6"/>
        <v>#DIV/0!</v>
      </c>
    </row>
    <row r="48">
      <c r="C48" s="9">
        <v>46037.0</v>
      </c>
      <c r="D48" s="1" t="s">
        <v>4</v>
      </c>
      <c r="E48" s="1">
        <v>0.0</v>
      </c>
      <c r="F48" s="1">
        <v>0.0</v>
      </c>
      <c r="G48" s="2">
        <f t="shared" si="4"/>
        <v>0</v>
      </c>
      <c r="H48" s="3" t="str">
        <f t="shared" si="5"/>
        <v>#DIV/0!</v>
      </c>
      <c r="I48" s="2" t="str">
        <f t="shared" si="6"/>
        <v>#DIV/0!</v>
      </c>
    </row>
    <row r="49">
      <c r="C49" s="9">
        <v>46038.0</v>
      </c>
      <c r="D49" s="1" t="s">
        <v>5</v>
      </c>
      <c r="E49" s="1">
        <v>0.0</v>
      </c>
      <c r="F49" s="1">
        <v>0.0</v>
      </c>
      <c r="G49" s="2">
        <f t="shared" si="4"/>
        <v>0</v>
      </c>
      <c r="H49" s="3" t="str">
        <f t="shared" si="5"/>
        <v>#DIV/0!</v>
      </c>
      <c r="I49" s="2" t="str">
        <f t="shared" si="6"/>
        <v>#DIV/0!</v>
      </c>
    </row>
    <row r="50">
      <c r="C50" s="9">
        <v>46039.0</v>
      </c>
      <c r="D50" s="1" t="s">
        <v>6</v>
      </c>
      <c r="E50" s="1">
        <v>0.0</v>
      </c>
      <c r="F50" s="1">
        <v>0.0</v>
      </c>
      <c r="G50" s="2">
        <f t="shared" si="4"/>
        <v>0</v>
      </c>
      <c r="H50" s="3" t="str">
        <f t="shared" si="5"/>
        <v>#DIV/0!</v>
      </c>
      <c r="I50" s="2" t="str">
        <f t="shared" si="6"/>
        <v>#DIV/0!</v>
      </c>
    </row>
    <row r="51">
      <c r="C51" s="9">
        <v>46040.0</v>
      </c>
      <c r="D51" s="1" t="s">
        <v>7</v>
      </c>
      <c r="E51" s="1">
        <v>0.0</v>
      </c>
      <c r="F51" s="1">
        <v>0.0</v>
      </c>
      <c r="G51" s="2">
        <f t="shared" si="4"/>
        <v>0</v>
      </c>
      <c r="H51" s="3" t="str">
        <f t="shared" si="5"/>
        <v>#DIV/0!</v>
      </c>
      <c r="I51" s="2" t="str">
        <f t="shared" si="6"/>
        <v>#DIV/0!</v>
      </c>
    </row>
    <row r="52">
      <c r="C52" s="9">
        <v>46041.0</v>
      </c>
      <c r="D52" s="1" t="s">
        <v>1</v>
      </c>
      <c r="E52" s="1">
        <v>0.0</v>
      </c>
      <c r="F52" s="1">
        <v>0.0</v>
      </c>
      <c r="G52" s="2">
        <f t="shared" si="4"/>
        <v>0</v>
      </c>
      <c r="H52" s="3" t="str">
        <f t="shared" si="5"/>
        <v>#DIV/0!</v>
      </c>
      <c r="I52" s="2" t="str">
        <f t="shared" si="6"/>
        <v>#DIV/0!</v>
      </c>
    </row>
    <row r="53">
      <c r="C53" s="9">
        <v>46042.0</v>
      </c>
      <c r="D53" s="1" t="s">
        <v>2</v>
      </c>
      <c r="E53" s="1">
        <v>0.0</v>
      </c>
      <c r="F53" s="1">
        <v>0.0</v>
      </c>
      <c r="G53" s="2">
        <f t="shared" si="4"/>
        <v>0</v>
      </c>
      <c r="H53" s="3" t="str">
        <f t="shared" si="5"/>
        <v>#DIV/0!</v>
      </c>
      <c r="I53" s="2" t="str">
        <f t="shared" si="6"/>
        <v>#DIV/0!</v>
      </c>
    </row>
    <row r="54">
      <c r="C54" s="9">
        <v>46043.0</v>
      </c>
      <c r="D54" s="1" t="s">
        <v>3</v>
      </c>
      <c r="E54" s="1">
        <v>0.0</v>
      </c>
      <c r="F54" s="1">
        <v>0.0</v>
      </c>
      <c r="G54" s="2">
        <f t="shared" si="4"/>
        <v>0</v>
      </c>
      <c r="H54" s="3" t="str">
        <f t="shared" si="5"/>
        <v>#DIV/0!</v>
      </c>
      <c r="I54" s="2" t="str">
        <f t="shared" si="6"/>
        <v>#DIV/0!</v>
      </c>
    </row>
    <row r="55">
      <c r="C55" s="9">
        <v>46044.0</v>
      </c>
      <c r="D55" s="1" t="s">
        <v>4</v>
      </c>
      <c r="E55" s="1">
        <v>0.0</v>
      </c>
      <c r="F55" s="1">
        <v>0.0</v>
      </c>
      <c r="G55" s="2">
        <f t="shared" si="4"/>
        <v>0</v>
      </c>
      <c r="H55" s="3" t="str">
        <f t="shared" si="5"/>
        <v>#DIV/0!</v>
      </c>
      <c r="I55" s="2" t="str">
        <f t="shared" si="6"/>
        <v>#DIV/0!</v>
      </c>
    </row>
    <row r="56">
      <c r="C56" s="9">
        <v>46045.0</v>
      </c>
      <c r="D56" s="1" t="s">
        <v>5</v>
      </c>
      <c r="E56" s="1">
        <v>0.0</v>
      </c>
      <c r="F56" s="1">
        <v>0.0</v>
      </c>
      <c r="G56" s="2">
        <f t="shared" si="4"/>
        <v>0</v>
      </c>
      <c r="H56" s="3" t="str">
        <f t="shared" si="5"/>
        <v>#DIV/0!</v>
      </c>
      <c r="I56" s="2" t="str">
        <f t="shared" si="6"/>
        <v>#DIV/0!</v>
      </c>
    </row>
    <row r="57">
      <c r="C57" s="9">
        <v>46046.0</v>
      </c>
      <c r="D57" s="1" t="s">
        <v>6</v>
      </c>
      <c r="E57" s="1">
        <v>0.0</v>
      </c>
      <c r="F57" s="1">
        <v>0.0</v>
      </c>
      <c r="G57" s="2">
        <f t="shared" si="4"/>
        <v>0</v>
      </c>
      <c r="H57" s="3" t="str">
        <f t="shared" si="5"/>
        <v>#DIV/0!</v>
      </c>
      <c r="I57" s="2" t="str">
        <f t="shared" si="6"/>
        <v>#DIV/0!</v>
      </c>
    </row>
    <row r="58">
      <c r="C58" s="9">
        <v>46047.0</v>
      </c>
      <c r="D58" s="1" t="s">
        <v>7</v>
      </c>
      <c r="E58" s="1">
        <v>0.0</v>
      </c>
      <c r="F58" s="1">
        <v>0.0</v>
      </c>
      <c r="G58" s="2">
        <f t="shared" si="4"/>
        <v>0</v>
      </c>
      <c r="H58" s="3" t="str">
        <f t="shared" si="5"/>
        <v>#DIV/0!</v>
      </c>
      <c r="I58" s="2" t="str">
        <f t="shared" si="6"/>
        <v>#DIV/0!</v>
      </c>
    </row>
    <row r="59">
      <c r="C59" s="9">
        <v>46048.0</v>
      </c>
      <c r="D59" s="1" t="s">
        <v>1</v>
      </c>
      <c r="E59" s="1">
        <v>0.0</v>
      </c>
      <c r="F59" s="1">
        <v>0.0</v>
      </c>
      <c r="G59" s="2">
        <f t="shared" si="4"/>
        <v>0</v>
      </c>
      <c r="H59" s="3" t="str">
        <f t="shared" si="5"/>
        <v>#DIV/0!</v>
      </c>
      <c r="I59" s="2" t="str">
        <f t="shared" si="6"/>
        <v>#DIV/0!</v>
      </c>
    </row>
    <row r="60">
      <c r="C60" s="9">
        <v>46049.0</v>
      </c>
      <c r="D60" s="1" t="s">
        <v>2</v>
      </c>
      <c r="E60" s="1">
        <v>0.0</v>
      </c>
      <c r="F60" s="1">
        <v>0.0</v>
      </c>
      <c r="G60" s="2">
        <f t="shared" si="4"/>
        <v>0</v>
      </c>
      <c r="H60" s="3" t="str">
        <f t="shared" si="5"/>
        <v>#DIV/0!</v>
      </c>
      <c r="I60" s="2" t="str">
        <f t="shared" si="6"/>
        <v>#DIV/0!</v>
      </c>
    </row>
    <row r="61">
      <c r="C61" s="9">
        <v>46050.0</v>
      </c>
      <c r="D61" s="1" t="s">
        <v>3</v>
      </c>
      <c r="E61" s="1">
        <v>0.0</v>
      </c>
      <c r="F61" s="1">
        <v>0.0</v>
      </c>
      <c r="G61" s="2">
        <f t="shared" si="4"/>
        <v>0</v>
      </c>
      <c r="H61" s="3" t="str">
        <f t="shared" si="5"/>
        <v>#DIV/0!</v>
      </c>
      <c r="I61" s="2" t="str">
        <f t="shared" si="6"/>
        <v>#DIV/0!</v>
      </c>
    </row>
    <row r="62">
      <c r="C62" s="9">
        <v>46051.0</v>
      </c>
      <c r="D62" s="1" t="s">
        <v>4</v>
      </c>
      <c r="E62" s="1">
        <v>0.0</v>
      </c>
      <c r="F62" s="1">
        <v>0.0</v>
      </c>
      <c r="G62" s="2">
        <f t="shared" si="4"/>
        <v>0</v>
      </c>
      <c r="H62" s="3" t="str">
        <f t="shared" si="5"/>
        <v>#DIV/0!</v>
      </c>
      <c r="I62" s="2" t="str">
        <f t="shared" si="6"/>
        <v>#DIV/0!</v>
      </c>
    </row>
    <row r="63">
      <c r="C63" s="9">
        <v>46052.0</v>
      </c>
      <c r="D63" s="1" t="s">
        <v>5</v>
      </c>
      <c r="E63" s="1">
        <v>0.0</v>
      </c>
      <c r="F63" s="1">
        <v>0.0</v>
      </c>
      <c r="G63" s="2">
        <f t="shared" si="4"/>
        <v>0</v>
      </c>
      <c r="H63" s="3" t="str">
        <f t="shared" si="5"/>
        <v>#DIV/0!</v>
      </c>
      <c r="I63" s="2" t="str">
        <f t="shared" si="6"/>
        <v>#DIV/0!</v>
      </c>
    </row>
    <row r="64">
      <c r="C64" s="9">
        <v>46053.0</v>
      </c>
      <c r="D64" s="1" t="s">
        <v>6</v>
      </c>
      <c r="E64" s="1">
        <v>0.0</v>
      </c>
      <c r="F64" s="1">
        <v>0.0</v>
      </c>
      <c r="G64" s="2">
        <f t="shared" si="4"/>
        <v>0</v>
      </c>
      <c r="H64" s="3" t="str">
        <f t="shared" si="5"/>
        <v>#DIV/0!</v>
      </c>
      <c r="I64" s="2" t="str">
        <f t="shared" si="6"/>
        <v>#DIV/0!</v>
      </c>
    </row>
    <row r="65">
      <c r="H65" s="3"/>
    </row>
    <row r="66">
      <c r="A66" s="1">
        <v>2026.0</v>
      </c>
      <c r="B66" s="1" t="s">
        <v>61</v>
      </c>
      <c r="C66" s="9">
        <f t="array" ref="C66:C93">SEQUENCE(28,1,DATE(2026,2,1),1)
</f>
        <v>46054</v>
      </c>
      <c r="D66" s="1" t="s">
        <v>7</v>
      </c>
      <c r="E66" s="1">
        <v>0.0</v>
      </c>
      <c r="F66" s="1">
        <v>0.0</v>
      </c>
      <c r="G66" s="2">
        <f t="shared" ref="G66:G93" si="7">(F66-E66)</f>
        <v>0</v>
      </c>
      <c r="H66" s="3" t="str">
        <f t="shared" ref="H66:H93" si="8">E66/F66</f>
        <v>#DIV/0!</v>
      </c>
      <c r="I66" s="2" t="str">
        <f t="shared" ref="I66:I93" si="9">ROUND((E66/F66)*10,1)</f>
        <v>#DIV/0!</v>
      </c>
      <c r="J66" s="7" t="s">
        <v>57</v>
      </c>
      <c r="K66" s="2" t="str">
        <f>MAX(H66:H93)</f>
        <v>#DIV/0!</v>
      </c>
    </row>
    <row r="67">
      <c r="C67" s="9">
        <v>46055.0</v>
      </c>
      <c r="D67" s="1" t="s">
        <v>1</v>
      </c>
      <c r="E67" s="1">
        <v>0.0</v>
      </c>
      <c r="F67" s="1">
        <v>0.0</v>
      </c>
      <c r="G67" s="2">
        <f t="shared" si="7"/>
        <v>0</v>
      </c>
      <c r="H67" s="3" t="str">
        <f t="shared" si="8"/>
        <v>#DIV/0!</v>
      </c>
      <c r="I67" s="2" t="str">
        <f t="shared" si="9"/>
        <v>#DIV/0!</v>
      </c>
    </row>
    <row r="68">
      <c r="C68" s="9">
        <v>46056.0</v>
      </c>
      <c r="D68" s="1" t="s">
        <v>2</v>
      </c>
      <c r="E68" s="1">
        <v>0.0</v>
      </c>
      <c r="F68" s="1">
        <v>0.0</v>
      </c>
      <c r="G68" s="2">
        <f t="shared" si="7"/>
        <v>0</v>
      </c>
      <c r="H68" s="3" t="str">
        <f t="shared" si="8"/>
        <v>#DIV/0!</v>
      </c>
      <c r="I68" s="2" t="str">
        <f t="shared" si="9"/>
        <v>#DIV/0!</v>
      </c>
      <c r="J68" s="7" t="s">
        <v>58</v>
      </c>
      <c r="K68" s="2" t="str">
        <f>MIN(H66:H93)</f>
        <v>#DIV/0!</v>
      </c>
    </row>
    <row r="69">
      <c r="C69" s="9">
        <v>46057.0</v>
      </c>
      <c r="D69" s="1" t="s">
        <v>3</v>
      </c>
      <c r="E69" s="1">
        <v>0.0</v>
      </c>
      <c r="F69" s="1">
        <v>0.0</v>
      </c>
      <c r="G69" s="2">
        <f t="shared" si="7"/>
        <v>0</v>
      </c>
      <c r="H69" s="3" t="str">
        <f t="shared" si="8"/>
        <v>#DIV/0!</v>
      </c>
      <c r="I69" s="2" t="str">
        <f t="shared" si="9"/>
        <v>#DIV/0!</v>
      </c>
    </row>
    <row r="70">
      <c r="C70" s="9">
        <v>46058.0</v>
      </c>
      <c r="D70" s="1" t="s">
        <v>4</v>
      </c>
      <c r="E70" s="1">
        <v>0.0</v>
      </c>
      <c r="F70" s="1">
        <v>0.0</v>
      </c>
      <c r="G70" s="2">
        <f t="shared" si="7"/>
        <v>0</v>
      </c>
      <c r="H70" s="3" t="str">
        <f t="shared" si="8"/>
        <v>#DIV/0!</v>
      </c>
      <c r="I70" s="2" t="str">
        <f t="shared" si="9"/>
        <v>#DIV/0!</v>
      </c>
      <c r="J70" s="7" t="s">
        <v>59</v>
      </c>
      <c r="K70" s="2" t="str">
        <f>AVERAGE(H66:H93)</f>
        <v>#DIV/0!</v>
      </c>
    </row>
    <row r="71">
      <c r="C71" s="9">
        <v>46059.0</v>
      </c>
      <c r="D71" s="1" t="s">
        <v>5</v>
      </c>
      <c r="E71" s="1">
        <v>0.0</v>
      </c>
      <c r="F71" s="1">
        <v>0.0</v>
      </c>
      <c r="G71" s="2">
        <f t="shared" si="7"/>
        <v>0</v>
      </c>
      <c r="H71" s="3" t="str">
        <f t="shared" si="8"/>
        <v>#DIV/0!</v>
      </c>
      <c r="I71" s="2" t="str">
        <f t="shared" si="9"/>
        <v>#DIV/0!</v>
      </c>
    </row>
    <row r="72">
      <c r="C72" s="9">
        <v>46060.0</v>
      </c>
      <c r="D72" s="1" t="s">
        <v>6</v>
      </c>
      <c r="E72" s="1">
        <v>0.0</v>
      </c>
      <c r="F72" s="1">
        <v>0.0</v>
      </c>
      <c r="G72" s="2">
        <f t="shared" si="7"/>
        <v>0</v>
      </c>
      <c r="H72" s="3" t="str">
        <f t="shared" si="8"/>
        <v>#DIV/0!</v>
      </c>
      <c r="I72" s="2" t="str">
        <f t="shared" si="9"/>
        <v>#DIV/0!</v>
      </c>
    </row>
    <row r="73">
      <c r="C73" s="9">
        <v>46061.0</v>
      </c>
      <c r="D73" s="1" t="s">
        <v>7</v>
      </c>
      <c r="E73" s="1">
        <v>0.0</v>
      </c>
      <c r="F73" s="1">
        <v>0.0</v>
      </c>
      <c r="G73" s="2">
        <f t="shared" si="7"/>
        <v>0</v>
      </c>
      <c r="H73" s="3" t="str">
        <f t="shared" si="8"/>
        <v>#DIV/0!</v>
      </c>
      <c r="I73" s="2" t="str">
        <f t="shared" si="9"/>
        <v>#DIV/0!</v>
      </c>
    </row>
    <row r="74">
      <c r="C74" s="9">
        <v>46062.0</v>
      </c>
      <c r="D74" s="1" t="s">
        <v>1</v>
      </c>
      <c r="E74" s="1">
        <v>0.0</v>
      </c>
      <c r="F74" s="1">
        <v>0.0</v>
      </c>
      <c r="G74" s="2">
        <f t="shared" si="7"/>
        <v>0</v>
      </c>
      <c r="H74" s="3" t="str">
        <f t="shared" si="8"/>
        <v>#DIV/0!</v>
      </c>
      <c r="I74" s="2" t="str">
        <f t="shared" si="9"/>
        <v>#DIV/0!</v>
      </c>
    </row>
    <row r="75">
      <c r="C75" s="9">
        <v>46063.0</v>
      </c>
      <c r="D75" s="1" t="s">
        <v>2</v>
      </c>
      <c r="E75" s="1">
        <v>0.0</v>
      </c>
      <c r="F75" s="1">
        <v>0.0</v>
      </c>
      <c r="G75" s="2">
        <f t="shared" si="7"/>
        <v>0</v>
      </c>
      <c r="H75" s="3" t="str">
        <f t="shared" si="8"/>
        <v>#DIV/0!</v>
      </c>
      <c r="I75" s="2" t="str">
        <f t="shared" si="9"/>
        <v>#DIV/0!</v>
      </c>
    </row>
    <row r="76">
      <c r="C76" s="9">
        <v>46064.0</v>
      </c>
      <c r="D76" s="1" t="s">
        <v>3</v>
      </c>
      <c r="E76" s="1">
        <v>0.0</v>
      </c>
      <c r="F76" s="1">
        <v>0.0</v>
      </c>
      <c r="G76" s="2">
        <f t="shared" si="7"/>
        <v>0</v>
      </c>
      <c r="H76" s="3" t="str">
        <f t="shared" si="8"/>
        <v>#DIV/0!</v>
      </c>
      <c r="I76" s="2" t="str">
        <f t="shared" si="9"/>
        <v>#DIV/0!</v>
      </c>
    </row>
    <row r="77">
      <c r="C77" s="9">
        <v>46065.0</v>
      </c>
      <c r="D77" s="1" t="s">
        <v>4</v>
      </c>
      <c r="E77" s="1">
        <v>0.0</v>
      </c>
      <c r="F77" s="1">
        <v>0.0</v>
      </c>
      <c r="G77" s="2">
        <f t="shared" si="7"/>
        <v>0</v>
      </c>
      <c r="H77" s="3" t="str">
        <f t="shared" si="8"/>
        <v>#DIV/0!</v>
      </c>
      <c r="I77" s="2" t="str">
        <f t="shared" si="9"/>
        <v>#DIV/0!</v>
      </c>
    </row>
    <row r="78">
      <c r="C78" s="9">
        <v>46066.0</v>
      </c>
      <c r="D78" s="1" t="s">
        <v>5</v>
      </c>
      <c r="E78" s="1">
        <v>0.0</v>
      </c>
      <c r="F78" s="1">
        <v>0.0</v>
      </c>
      <c r="G78" s="2">
        <f t="shared" si="7"/>
        <v>0</v>
      </c>
      <c r="H78" s="3" t="str">
        <f t="shared" si="8"/>
        <v>#DIV/0!</v>
      </c>
      <c r="I78" s="2" t="str">
        <f t="shared" si="9"/>
        <v>#DIV/0!</v>
      </c>
    </row>
    <row r="79">
      <c r="C79" s="9">
        <v>46067.0</v>
      </c>
      <c r="D79" s="1" t="s">
        <v>6</v>
      </c>
      <c r="E79" s="1">
        <v>0.0</v>
      </c>
      <c r="F79" s="1">
        <v>0.0</v>
      </c>
      <c r="G79" s="2">
        <f t="shared" si="7"/>
        <v>0</v>
      </c>
      <c r="H79" s="3" t="str">
        <f t="shared" si="8"/>
        <v>#DIV/0!</v>
      </c>
      <c r="I79" s="2" t="str">
        <f t="shared" si="9"/>
        <v>#DIV/0!</v>
      </c>
    </row>
    <row r="80">
      <c r="C80" s="9">
        <v>46068.0</v>
      </c>
      <c r="D80" s="1" t="s">
        <v>7</v>
      </c>
      <c r="E80" s="1">
        <v>0.0</v>
      </c>
      <c r="F80" s="1">
        <v>0.0</v>
      </c>
      <c r="G80" s="2">
        <f t="shared" si="7"/>
        <v>0</v>
      </c>
      <c r="H80" s="3" t="str">
        <f t="shared" si="8"/>
        <v>#DIV/0!</v>
      </c>
      <c r="I80" s="2" t="str">
        <f t="shared" si="9"/>
        <v>#DIV/0!</v>
      </c>
    </row>
    <row r="81">
      <c r="C81" s="9">
        <v>46069.0</v>
      </c>
      <c r="D81" s="1" t="s">
        <v>1</v>
      </c>
      <c r="E81" s="1">
        <v>0.0</v>
      </c>
      <c r="F81" s="1">
        <v>0.0</v>
      </c>
      <c r="G81" s="2">
        <f t="shared" si="7"/>
        <v>0</v>
      </c>
      <c r="H81" s="3" t="str">
        <f t="shared" si="8"/>
        <v>#DIV/0!</v>
      </c>
      <c r="I81" s="2" t="str">
        <f t="shared" si="9"/>
        <v>#DIV/0!</v>
      </c>
    </row>
    <row r="82">
      <c r="C82" s="9">
        <v>46070.0</v>
      </c>
      <c r="D82" s="1" t="s">
        <v>2</v>
      </c>
      <c r="E82" s="1">
        <v>0.0</v>
      </c>
      <c r="F82" s="1">
        <v>0.0</v>
      </c>
      <c r="G82" s="2">
        <f t="shared" si="7"/>
        <v>0</v>
      </c>
      <c r="H82" s="3" t="str">
        <f t="shared" si="8"/>
        <v>#DIV/0!</v>
      </c>
      <c r="I82" s="2" t="str">
        <f t="shared" si="9"/>
        <v>#DIV/0!</v>
      </c>
    </row>
    <row r="83">
      <c r="C83" s="9">
        <v>46071.0</v>
      </c>
      <c r="D83" s="1" t="s">
        <v>3</v>
      </c>
      <c r="E83" s="1">
        <v>0.0</v>
      </c>
      <c r="F83" s="1">
        <v>0.0</v>
      </c>
      <c r="G83" s="2">
        <f t="shared" si="7"/>
        <v>0</v>
      </c>
      <c r="H83" s="3" t="str">
        <f t="shared" si="8"/>
        <v>#DIV/0!</v>
      </c>
      <c r="I83" s="2" t="str">
        <f t="shared" si="9"/>
        <v>#DIV/0!</v>
      </c>
    </row>
    <row r="84">
      <c r="C84" s="9">
        <v>46072.0</v>
      </c>
      <c r="D84" s="1" t="s">
        <v>4</v>
      </c>
      <c r="E84" s="1">
        <v>0.0</v>
      </c>
      <c r="F84" s="1">
        <v>0.0</v>
      </c>
      <c r="G84" s="2">
        <f t="shared" si="7"/>
        <v>0</v>
      </c>
      <c r="H84" s="3" t="str">
        <f t="shared" si="8"/>
        <v>#DIV/0!</v>
      </c>
      <c r="I84" s="2" t="str">
        <f t="shared" si="9"/>
        <v>#DIV/0!</v>
      </c>
    </row>
    <row r="85">
      <c r="C85" s="9">
        <v>46073.0</v>
      </c>
      <c r="D85" s="1" t="s">
        <v>5</v>
      </c>
      <c r="E85" s="1">
        <v>0.0</v>
      </c>
      <c r="F85" s="1">
        <v>0.0</v>
      </c>
      <c r="G85" s="2">
        <f t="shared" si="7"/>
        <v>0</v>
      </c>
      <c r="H85" s="3" t="str">
        <f t="shared" si="8"/>
        <v>#DIV/0!</v>
      </c>
      <c r="I85" s="2" t="str">
        <f t="shared" si="9"/>
        <v>#DIV/0!</v>
      </c>
    </row>
    <row r="86">
      <c r="C86" s="9">
        <v>46074.0</v>
      </c>
      <c r="D86" s="1" t="s">
        <v>6</v>
      </c>
      <c r="E86" s="1">
        <v>0.0</v>
      </c>
      <c r="F86" s="1">
        <v>0.0</v>
      </c>
      <c r="G86" s="2">
        <f t="shared" si="7"/>
        <v>0</v>
      </c>
      <c r="H86" s="3" t="str">
        <f t="shared" si="8"/>
        <v>#DIV/0!</v>
      </c>
      <c r="I86" s="2" t="str">
        <f t="shared" si="9"/>
        <v>#DIV/0!</v>
      </c>
    </row>
    <row r="87">
      <c r="C87" s="9">
        <v>46075.0</v>
      </c>
      <c r="D87" s="1" t="s">
        <v>7</v>
      </c>
      <c r="E87" s="1">
        <v>0.0</v>
      </c>
      <c r="F87" s="1">
        <v>0.0</v>
      </c>
      <c r="G87" s="2">
        <f t="shared" si="7"/>
        <v>0</v>
      </c>
      <c r="H87" s="3" t="str">
        <f t="shared" si="8"/>
        <v>#DIV/0!</v>
      </c>
      <c r="I87" s="2" t="str">
        <f t="shared" si="9"/>
        <v>#DIV/0!</v>
      </c>
    </row>
    <row r="88">
      <c r="C88" s="9">
        <v>46076.0</v>
      </c>
      <c r="D88" s="1" t="s">
        <v>1</v>
      </c>
      <c r="E88" s="1">
        <v>0.0</v>
      </c>
      <c r="F88" s="1">
        <v>0.0</v>
      </c>
      <c r="G88" s="2">
        <f t="shared" si="7"/>
        <v>0</v>
      </c>
      <c r="H88" s="3" t="str">
        <f t="shared" si="8"/>
        <v>#DIV/0!</v>
      </c>
      <c r="I88" s="2" t="str">
        <f t="shared" si="9"/>
        <v>#DIV/0!</v>
      </c>
    </row>
    <row r="89">
      <c r="C89" s="9">
        <v>46077.0</v>
      </c>
      <c r="D89" s="1" t="s">
        <v>2</v>
      </c>
      <c r="E89" s="1">
        <v>0.0</v>
      </c>
      <c r="F89" s="1">
        <v>0.0</v>
      </c>
      <c r="G89" s="2">
        <f t="shared" si="7"/>
        <v>0</v>
      </c>
      <c r="H89" s="3" t="str">
        <f t="shared" si="8"/>
        <v>#DIV/0!</v>
      </c>
      <c r="I89" s="2" t="str">
        <f t="shared" si="9"/>
        <v>#DIV/0!</v>
      </c>
    </row>
    <row r="90">
      <c r="C90" s="9">
        <v>46078.0</v>
      </c>
      <c r="D90" s="1" t="s">
        <v>3</v>
      </c>
      <c r="E90" s="1">
        <v>0.0</v>
      </c>
      <c r="F90" s="1">
        <v>0.0</v>
      </c>
      <c r="G90" s="2">
        <f t="shared" si="7"/>
        <v>0</v>
      </c>
      <c r="H90" s="3" t="str">
        <f t="shared" si="8"/>
        <v>#DIV/0!</v>
      </c>
      <c r="I90" s="2" t="str">
        <f t="shared" si="9"/>
        <v>#DIV/0!</v>
      </c>
    </row>
    <row r="91">
      <c r="C91" s="9">
        <v>46079.0</v>
      </c>
      <c r="D91" s="1" t="s">
        <v>4</v>
      </c>
      <c r="E91" s="1">
        <v>0.0</v>
      </c>
      <c r="F91" s="1">
        <v>0.0</v>
      </c>
      <c r="G91" s="2">
        <f t="shared" si="7"/>
        <v>0</v>
      </c>
      <c r="H91" s="3" t="str">
        <f t="shared" si="8"/>
        <v>#DIV/0!</v>
      </c>
      <c r="I91" s="2" t="str">
        <f t="shared" si="9"/>
        <v>#DIV/0!</v>
      </c>
    </row>
    <row r="92">
      <c r="C92" s="9">
        <v>46080.0</v>
      </c>
      <c r="D92" s="1" t="s">
        <v>5</v>
      </c>
      <c r="E92" s="1">
        <v>0.0</v>
      </c>
      <c r="F92" s="1">
        <v>0.0</v>
      </c>
      <c r="G92" s="2">
        <f t="shared" si="7"/>
        <v>0</v>
      </c>
      <c r="H92" s="3" t="str">
        <f t="shared" si="8"/>
        <v>#DIV/0!</v>
      </c>
      <c r="I92" s="2" t="str">
        <f t="shared" si="9"/>
        <v>#DIV/0!</v>
      </c>
    </row>
    <row r="93">
      <c r="C93" s="9">
        <v>46081.0</v>
      </c>
      <c r="D93" s="1" t="s">
        <v>6</v>
      </c>
      <c r="E93" s="1">
        <v>0.0</v>
      </c>
      <c r="F93" s="1">
        <v>0.0</v>
      </c>
      <c r="G93" s="2">
        <f t="shared" si="7"/>
        <v>0</v>
      </c>
      <c r="H93" s="3" t="str">
        <f t="shared" si="8"/>
        <v>#DIV/0!</v>
      </c>
      <c r="I93" s="2" t="str">
        <f t="shared" si="9"/>
        <v>#DIV/0!</v>
      </c>
    </row>
    <row r="94">
      <c r="H94" s="3"/>
    </row>
    <row r="95">
      <c r="A95" s="1">
        <v>2026.0</v>
      </c>
      <c r="B95" s="1" t="s">
        <v>62</v>
      </c>
      <c r="C95" s="9">
        <f t="array" ref="C95:C125">SEQUENCE(31,1,DATE(2026,3,1),1)
</f>
        <v>46082</v>
      </c>
      <c r="D95" s="1" t="s">
        <v>7</v>
      </c>
      <c r="E95" s="1">
        <v>0.0</v>
      </c>
      <c r="F95" s="1">
        <v>0.0</v>
      </c>
      <c r="G95" s="2">
        <f t="shared" ref="G95:G125" si="10">(F95-E95)</f>
        <v>0</v>
      </c>
      <c r="H95" s="3" t="str">
        <f t="shared" ref="H95:H125" si="11">E95/F95</f>
        <v>#DIV/0!</v>
      </c>
      <c r="I95" s="2" t="str">
        <f t="shared" ref="I95:I125" si="12">ROUND((E95/F95)*10,1)</f>
        <v>#DIV/0!</v>
      </c>
      <c r="J95" s="7" t="s">
        <v>57</v>
      </c>
      <c r="K95" s="2" t="str">
        <f>MAX(H95:H125)</f>
        <v>#DIV/0!</v>
      </c>
    </row>
    <row r="96">
      <c r="C96" s="9">
        <v>46083.0</v>
      </c>
      <c r="D96" s="1" t="s">
        <v>1</v>
      </c>
      <c r="E96" s="1">
        <v>0.0</v>
      </c>
      <c r="F96" s="1">
        <v>0.0</v>
      </c>
      <c r="G96" s="2">
        <f t="shared" si="10"/>
        <v>0</v>
      </c>
      <c r="H96" s="3" t="str">
        <f t="shared" si="11"/>
        <v>#DIV/0!</v>
      </c>
      <c r="I96" s="2" t="str">
        <f t="shared" si="12"/>
        <v>#DIV/0!</v>
      </c>
    </row>
    <row r="97">
      <c r="C97" s="9">
        <v>46084.0</v>
      </c>
      <c r="D97" s="1" t="s">
        <v>2</v>
      </c>
      <c r="E97" s="1">
        <v>0.0</v>
      </c>
      <c r="F97" s="1">
        <v>0.0</v>
      </c>
      <c r="G97" s="2">
        <f t="shared" si="10"/>
        <v>0</v>
      </c>
      <c r="H97" s="3" t="str">
        <f t="shared" si="11"/>
        <v>#DIV/0!</v>
      </c>
      <c r="I97" s="2" t="str">
        <f t="shared" si="12"/>
        <v>#DIV/0!</v>
      </c>
      <c r="J97" s="7" t="s">
        <v>58</v>
      </c>
      <c r="K97" s="2" t="str">
        <f>MIN(H95:H125)</f>
        <v>#DIV/0!</v>
      </c>
    </row>
    <row r="98">
      <c r="C98" s="9">
        <v>46085.0</v>
      </c>
      <c r="D98" s="1" t="s">
        <v>3</v>
      </c>
      <c r="E98" s="1">
        <v>0.0</v>
      </c>
      <c r="F98" s="1">
        <v>0.0</v>
      </c>
      <c r="G98" s="2">
        <f t="shared" si="10"/>
        <v>0</v>
      </c>
      <c r="H98" s="3" t="str">
        <f t="shared" si="11"/>
        <v>#DIV/0!</v>
      </c>
      <c r="I98" s="2" t="str">
        <f t="shared" si="12"/>
        <v>#DIV/0!</v>
      </c>
    </row>
    <row r="99">
      <c r="C99" s="9">
        <v>46086.0</v>
      </c>
      <c r="D99" s="1" t="s">
        <v>4</v>
      </c>
      <c r="E99" s="1">
        <v>0.0</v>
      </c>
      <c r="F99" s="1">
        <v>0.0</v>
      </c>
      <c r="G99" s="2">
        <f t="shared" si="10"/>
        <v>0</v>
      </c>
      <c r="H99" s="3" t="str">
        <f t="shared" si="11"/>
        <v>#DIV/0!</v>
      </c>
      <c r="I99" s="2" t="str">
        <f t="shared" si="12"/>
        <v>#DIV/0!</v>
      </c>
      <c r="J99" s="7" t="s">
        <v>59</v>
      </c>
      <c r="K99" s="2" t="str">
        <f>AVERAGE(H95:H125)</f>
        <v>#DIV/0!</v>
      </c>
    </row>
    <row r="100">
      <c r="C100" s="9">
        <v>46087.0</v>
      </c>
      <c r="D100" s="1" t="s">
        <v>5</v>
      </c>
      <c r="E100" s="1">
        <v>0.0</v>
      </c>
      <c r="F100" s="1">
        <v>0.0</v>
      </c>
      <c r="G100" s="2">
        <f t="shared" si="10"/>
        <v>0</v>
      </c>
      <c r="H100" s="3" t="str">
        <f t="shared" si="11"/>
        <v>#DIV/0!</v>
      </c>
      <c r="I100" s="2" t="str">
        <f t="shared" si="12"/>
        <v>#DIV/0!</v>
      </c>
    </row>
    <row r="101">
      <c r="C101" s="9">
        <v>46088.0</v>
      </c>
      <c r="D101" s="1" t="s">
        <v>6</v>
      </c>
      <c r="E101" s="1">
        <v>0.0</v>
      </c>
      <c r="F101" s="1">
        <v>0.0</v>
      </c>
      <c r="G101" s="2">
        <f t="shared" si="10"/>
        <v>0</v>
      </c>
      <c r="H101" s="3" t="str">
        <f t="shared" si="11"/>
        <v>#DIV/0!</v>
      </c>
      <c r="I101" s="2" t="str">
        <f t="shared" si="12"/>
        <v>#DIV/0!</v>
      </c>
    </row>
    <row r="102">
      <c r="C102" s="9">
        <v>46089.0</v>
      </c>
      <c r="D102" s="1" t="s">
        <v>7</v>
      </c>
      <c r="E102" s="1">
        <v>0.0</v>
      </c>
      <c r="F102" s="1">
        <v>0.0</v>
      </c>
      <c r="G102" s="2">
        <f t="shared" si="10"/>
        <v>0</v>
      </c>
      <c r="H102" s="3" t="str">
        <f t="shared" si="11"/>
        <v>#DIV/0!</v>
      </c>
      <c r="I102" s="2" t="str">
        <f t="shared" si="12"/>
        <v>#DIV/0!</v>
      </c>
    </row>
    <row r="103">
      <c r="C103" s="9">
        <v>46090.0</v>
      </c>
      <c r="D103" s="1" t="s">
        <v>1</v>
      </c>
      <c r="E103" s="1">
        <v>0.0</v>
      </c>
      <c r="F103" s="1">
        <v>0.0</v>
      </c>
      <c r="G103" s="2">
        <f t="shared" si="10"/>
        <v>0</v>
      </c>
      <c r="H103" s="3" t="str">
        <f t="shared" si="11"/>
        <v>#DIV/0!</v>
      </c>
      <c r="I103" s="2" t="str">
        <f t="shared" si="12"/>
        <v>#DIV/0!</v>
      </c>
    </row>
    <row r="104">
      <c r="C104" s="9">
        <v>46091.0</v>
      </c>
      <c r="D104" s="1" t="s">
        <v>2</v>
      </c>
      <c r="E104" s="1">
        <v>0.0</v>
      </c>
      <c r="F104" s="1">
        <v>0.0</v>
      </c>
      <c r="G104" s="2">
        <f t="shared" si="10"/>
        <v>0</v>
      </c>
      <c r="H104" s="3" t="str">
        <f t="shared" si="11"/>
        <v>#DIV/0!</v>
      </c>
      <c r="I104" s="2" t="str">
        <f t="shared" si="12"/>
        <v>#DIV/0!</v>
      </c>
    </row>
    <row r="105">
      <c r="C105" s="9">
        <v>46092.0</v>
      </c>
      <c r="D105" s="1" t="s">
        <v>3</v>
      </c>
      <c r="E105" s="1">
        <v>0.0</v>
      </c>
      <c r="F105" s="1">
        <v>0.0</v>
      </c>
      <c r="G105" s="2">
        <f t="shared" si="10"/>
        <v>0</v>
      </c>
      <c r="H105" s="3" t="str">
        <f t="shared" si="11"/>
        <v>#DIV/0!</v>
      </c>
      <c r="I105" s="2" t="str">
        <f t="shared" si="12"/>
        <v>#DIV/0!</v>
      </c>
    </row>
    <row r="106">
      <c r="C106" s="9">
        <v>46093.0</v>
      </c>
      <c r="D106" s="1" t="s">
        <v>4</v>
      </c>
      <c r="E106" s="1">
        <v>0.0</v>
      </c>
      <c r="F106" s="1">
        <v>0.0</v>
      </c>
      <c r="G106" s="2">
        <f t="shared" si="10"/>
        <v>0</v>
      </c>
      <c r="H106" s="3" t="str">
        <f t="shared" si="11"/>
        <v>#DIV/0!</v>
      </c>
      <c r="I106" s="2" t="str">
        <f t="shared" si="12"/>
        <v>#DIV/0!</v>
      </c>
    </row>
    <row r="107">
      <c r="C107" s="9">
        <v>46094.0</v>
      </c>
      <c r="D107" s="1" t="s">
        <v>5</v>
      </c>
      <c r="E107" s="1">
        <v>0.0</v>
      </c>
      <c r="F107" s="1">
        <v>0.0</v>
      </c>
      <c r="G107" s="2">
        <f t="shared" si="10"/>
        <v>0</v>
      </c>
      <c r="H107" s="3" t="str">
        <f t="shared" si="11"/>
        <v>#DIV/0!</v>
      </c>
      <c r="I107" s="2" t="str">
        <f t="shared" si="12"/>
        <v>#DIV/0!</v>
      </c>
    </row>
    <row r="108">
      <c r="C108" s="9">
        <v>46095.0</v>
      </c>
      <c r="D108" s="1" t="s">
        <v>6</v>
      </c>
      <c r="E108" s="1">
        <v>0.0</v>
      </c>
      <c r="F108" s="1">
        <v>0.0</v>
      </c>
      <c r="G108" s="2">
        <f t="shared" si="10"/>
        <v>0</v>
      </c>
      <c r="H108" s="3" t="str">
        <f t="shared" si="11"/>
        <v>#DIV/0!</v>
      </c>
      <c r="I108" s="2" t="str">
        <f t="shared" si="12"/>
        <v>#DIV/0!</v>
      </c>
    </row>
    <row r="109">
      <c r="C109" s="9">
        <v>46096.0</v>
      </c>
      <c r="D109" s="1" t="s">
        <v>7</v>
      </c>
      <c r="E109" s="1">
        <v>0.0</v>
      </c>
      <c r="F109" s="1">
        <v>0.0</v>
      </c>
      <c r="G109" s="2">
        <f t="shared" si="10"/>
        <v>0</v>
      </c>
      <c r="H109" s="3" t="str">
        <f t="shared" si="11"/>
        <v>#DIV/0!</v>
      </c>
      <c r="I109" s="2" t="str">
        <f t="shared" si="12"/>
        <v>#DIV/0!</v>
      </c>
    </row>
    <row r="110">
      <c r="C110" s="9">
        <v>46097.0</v>
      </c>
      <c r="D110" s="1" t="s">
        <v>1</v>
      </c>
      <c r="E110" s="1">
        <v>0.0</v>
      </c>
      <c r="F110" s="1">
        <v>0.0</v>
      </c>
      <c r="G110" s="2">
        <f t="shared" si="10"/>
        <v>0</v>
      </c>
      <c r="H110" s="3" t="str">
        <f t="shared" si="11"/>
        <v>#DIV/0!</v>
      </c>
      <c r="I110" s="2" t="str">
        <f t="shared" si="12"/>
        <v>#DIV/0!</v>
      </c>
    </row>
    <row r="111">
      <c r="C111" s="9">
        <v>46098.0</v>
      </c>
      <c r="D111" s="1" t="s">
        <v>2</v>
      </c>
      <c r="E111" s="1">
        <v>0.0</v>
      </c>
      <c r="F111" s="1">
        <v>0.0</v>
      </c>
      <c r="G111" s="2">
        <f t="shared" si="10"/>
        <v>0</v>
      </c>
      <c r="H111" s="3" t="str">
        <f t="shared" si="11"/>
        <v>#DIV/0!</v>
      </c>
      <c r="I111" s="2" t="str">
        <f t="shared" si="12"/>
        <v>#DIV/0!</v>
      </c>
    </row>
    <row r="112">
      <c r="C112" s="9">
        <v>46099.0</v>
      </c>
      <c r="D112" s="1" t="s">
        <v>3</v>
      </c>
      <c r="E112" s="1">
        <v>0.0</v>
      </c>
      <c r="F112" s="1">
        <v>0.0</v>
      </c>
      <c r="G112" s="2">
        <f t="shared" si="10"/>
        <v>0</v>
      </c>
      <c r="H112" s="3" t="str">
        <f t="shared" si="11"/>
        <v>#DIV/0!</v>
      </c>
      <c r="I112" s="2" t="str">
        <f t="shared" si="12"/>
        <v>#DIV/0!</v>
      </c>
    </row>
    <row r="113">
      <c r="C113" s="9">
        <v>46100.0</v>
      </c>
      <c r="D113" s="1" t="s">
        <v>4</v>
      </c>
      <c r="E113" s="1">
        <v>0.0</v>
      </c>
      <c r="F113" s="1">
        <v>0.0</v>
      </c>
      <c r="G113" s="2">
        <f t="shared" si="10"/>
        <v>0</v>
      </c>
      <c r="H113" s="3" t="str">
        <f t="shared" si="11"/>
        <v>#DIV/0!</v>
      </c>
      <c r="I113" s="2" t="str">
        <f t="shared" si="12"/>
        <v>#DIV/0!</v>
      </c>
    </row>
    <row r="114">
      <c r="C114" s="9">
        <v>46101.0</v>
      </c>
      <c r="D114" s="1" t="s">
        <v>5</v>
      </c>
      <c r="E114" s="1">
        <v>0.0</v>
      </c>
      <c r="F114" s="1">
        <v>0.0</v>
      </c>
      <c r="G114" s="2">
        <f t="shared" si="10"/>
        <v>0</v>
      </c>
      <c r="H114" s="3" t="str">
        <f t="shared" si="11"/>
        <v>#DIV/0!</v>
      </c>
      <c r="I114" s="2" t="str">
        <f t="shared" si="12"/>
        <v>#DIV/0!</v>
      </c>
    </row>
    <row r="115">
      <c r="C115" s="9">
        <v>46102.0</v>
      </c>
      <c r="D115" s="1" t="s">
        <v>6</v>
      </c>
      <c r="E115" s="1">
        <v>0.0</v>
      </c>
      <c r="F115" s="1">
        <v>0.0</v>
      </c>
      <c r="G115" s="2">
        <f t="shared" si="10"/>
        <v>0</v>
      </c>
      <c r="H115" s="3" t="str">
        <f t="shared" si="11"/>
        <v>#DIV/0!</v>
      </c>
      <c r="I115" s="2" t="str">
        <f t="shared" si="12"/>
        <v>#DIV/0!</v>
      </c>
    </row>
    <row r="116">
      <c r="C116" s="9">
        <v>46103.0</v>
      </c>
      <c r="D116" s="1" t="s">
        <v>7</v>
      </c>
      <c r="E116" s="1">
        <v>0.0</v>
      </c>
      <c r="F116" s="1">
        <v>0.0</v>
      </c>
      <c r="G116" s="2">
        <f t="shared" si="10"/>
        <v>0</v>
      </c>
      <c r="H116" s="3" t="str">
        <f t="shared" si="11"/>
        <v>#DIV/0!</v>
      </c>
      <c r="I116" s="2" t="str">
        <f t="shared" si="12"/>
        <v>#DIV/0!</v>
      </c>
    </row>
    <row r="117">
      <c r="C117" s="9">
        <v>46104.0</v>
      </c>
      <c r="D117" s="1" t="s">
        <v>1</v>
      </c>
      <c r="E117" s="1">
        <v>0.0</v>
      </c>
      <c r="F117" s="1">
        <v>0.0</v>
      </c>
      <c r="G117" s="2">
        <f t="shared" si="10"/>
        <v>0</v>
      </c>
      <c r="H117" s="3" t="str">
        <f t="shared" si="11"/>
        <v>#DIV/0!</v>
      </c>
      <c r="I117" s="2" t="str">
        <f t="shared" si="12"/>
        <v>#DIV/0!</v>
      </c>
    </row>
    <row r="118">
      <c r="C118" s="9">
        <v>46105.0</v>
      </c>
      <c r="D118" s="1" t="s">
        <v>2</v>
      </c>
      <c r="E118" s="1">
        <v>0.0</v>
      </c>
      <c r="F118" s="1">
        <v>0.0</v>
      </c>
      <c r="G118" s="2">
        <f t="shared" si="10"/>
        <v>0</v>
      </c>
      <c r="H118" s="3" t="str">
        <f t="shared" si="11"/>
        <v>#DIV/0!</v>
      </c>
      <c r="I118" s="2" t="str">
        <f t="shared" si="12"/>
        <v>#DIV/0!</v>
      </c>
    </row>
    <row r="119">
      <c r="C119" s="9">
        <v>46106.0</v>
      </c>
      <c r="D119" s="1" t="s">
        <v>3</v>
      </c>
      <c r="E119" s="1">
        <v>0.0</v>
      </c>
      <c r="F119" s="1">
        <v>0.0</v>
      </c>
      <c r="G119" s="2">
        <f t="shared" si="10"/>
        <v>0</v>
      </c>
      <c r="H119" s="3" t="str">
        <f t="shared" si="11"/>
        <v>#DIV/0!</v>
      </c>
      <c r="I119" s="2" t="str">
        <f t="shared" si="12"/>
        <v>#DIV/0!</v>
      </c>
    </row>
    <row r="120">
      <c r="C120" s="9">
        <v>46107.0</v>
      </c>
      <c r="D120" s="1" t="s">
        <v>4</v>
      </c>
      <c r="E120" s="1">
        <v>0.0</v>
      </c>
      <c r="F120" s="1">
        <v>0.0</v>
      </c>
      <c r="G120" s="2">
        <f t="shared" si="10"/>
        <v>0</v>
      </c>
      <c r="H120" s="3" t="str">
        <f t="shared" si="11"/>
        <v>#DIV/0!</v>
      </c>
      <c r="I120" s="2" t="str">
        <f t="shared" si="12"/>
        <v>#DIV/0!</v>
      </c>
    </row>
    <row r="121">
      <c r="C121" s="9">
        <v>46108.0</v>
      </c>
      <c r="D121" s="1" t="s">
        <v>5</v>
      </c>
      <c r="E121" s="1">
        <v>0.0</v>
      </c>
      <c r="F121" s="1">
        <v>0.0</v>
      </c>
      <c r="G121" s="2">
        <f t="shared" si="10"/>
        <v>0</v>
      </c>
      <c r="H121" s="3" t="str">
        <f t="shared" si="11"/>
        <v>#DIV/0!</v>
      </c>
      <c r="I121" s="2" t="str">
        <f t="shared" si="12"/>
        <v>#DIV/0!</v>
      </c>
    </row>
    <row r="122">
      <c r="C122" s="9">
        <v>46109.0</v>
      </c>
      <c r="D122" s="1" t="s">
        <v>6</v>
      </c>
      <c r="E122" s="1">
        <v>0.0</v>
      </c>
      <c r="F122" s="1">
        <v>0.0</v>
      </c>
      <c r="G122" s="2">
        <f t="shared" si="10"/>
        <v>0</v>
      </c>
      <c r="H122" s="3" t="str">
        <f t="shared" si="11"/>
        <v>#DIV/0!</v>
      </c>
      <c r="I122" s="2" t="str">
        <f t="shared" si="12"/>
        <v>#DIV/0!</v>
      </c>
    </row>
    <row r="123">
      <c r="C123" s="9">
        <v>46110.0</v>
      </c>
      <c r="D123" s="1" t="s">
        <v>7</v>
      </c>
      <c r="E123" s="1">
        <v>0.0</v>
      </c>
      <c r="F123" s="1">
        <v>0.0</v>
      </c>
      <c r="G123" s="2">
        <f t="shared" si="10"/>
        <v>0</v>
      </c>
      <c r="H123" s="3" t="str">
        <f t="shared" si="11"/>
        <v>#DIV/0!</v>
      </c>
      <c r="I123" s="2" t="str">
        <f t="shared" si="12"/>
        <v>#DIV/0!</v>
      </c>
    </row>
    <row r="124">
      <c r="C124" s="9">
        <v>46111.0</v>
      </c>
      <c r="D124" s="1" t="s">
        <v>1</v>
      </c>
      <c r="E124" s="1">
        <v>0.0</v>
      </c>
      <c r="F124" s="1">
        <v>0.0</v>
      </c>
      <c r="G124" s="2">
        <f t="shared" si="10"/>
        <v>0</v>
      </c>
      <c r="H124" s="3" t="str">
        <f t="shared" si="11"/>
        <v>#DIV/0!</v>
      </c>
      <c r="I124" s="2" t="str">
        <f t="shared" si="12"/>
        <v>#DIV/0!</v>
      </c>
    </row>
    <row r="125">
      <c r="C125" s="9">
        <v>46112.0</v>
      </c>
      <c r="D125" s="1" t="s">
        <v>2</v>
      </c>
      <c r="E125" s="1">
        <v>0.0</v>
      </c>
      <c r="F125" s="1">
        <v>0.0</v>
      </c>
      <c r="G125" s="2">
        <f t="shared" si="10"/>
        <v>0</v>
      </c>
      <c r="H125" s="3" t="str">
        <f t="shared" si="11"/>
        <v>#DIV/0!</v>
      </c>
      <c r="I125" s="2" t="str">
        <f t="shared" si="12"/>
        <v>#DIV/0!</v>
      </c>
    </row>
    <row r="126">
      <c r="H126" s="3"/>
    </row>
    <row r="127">
      <c r="A127" s="1">
        <v>2026.0</v>
      </c>
      <c r="B127" s="1" t="s">
        <v>63</v>
      </c>
      <c r="C127" s="9">
        <f t="array" ref="C127:C156">SEQUENCE(30,1,DATE(2026,4,1),1)
</f>
        <v>46113</v>
      </c>
      <c r="D127" s="1" t="s">
        <v>3</v>
      </c>
      <c r="E127" s="1">
        <v>0.0</v>
      </c>
      <c r="F127" s="1">
        <v>0.0</v>
      </c>
      <c r="G127" s="2">
        <f t="shared" ref="G127:G156" si="13">(F127-E127)</f>
        <v>0</v>
      </c>
      <c r="H127" s="3" t="str">
        <f t="shared" ref="H127:H156" si="14">E127/F127</f>
        <v>#DIV/0!</v>
      </c>
      <c r="I127" s="2" t="str">
        <f t="shared" ref="I127:I156" si="15">ROUND((E127/F127)*10,1)</f>
        <v>#DIV/0!</v>
      </c>
      <c r="J127" s="7" t="s">
        <v>57</v>
      </c>
      <c r="K127" s="2" t="str">
        <f>MAX(H127:H156)</f>
        <v>#DIV/0!</v>
      </c>
    </row>
    <row r="128">
      <c r="C128" s="9">
        <v>46114.0</v>
      </c>
      <c r="D128" s="1" t="s">
        <v>4</v>
      </c>
      <c r="E128" s="1">
        <v>0.0</v>
      </c>
      <c r="F128" s="1">
        <v>0.0</v>
      </c>
      <c r="G128" s="2">
        <f t="shared" si="13"/>
        <v>0</v>
      </c>
      <c r="H128" s="3" t="str">
        <f t="shared" si="14"/>
        <v>#DIV/0!</v>
      </c>
      <c r="I128" s="2" t="str">
        <f t="shared" si="15"/>
        <v>#DIV/0!</v>
      </c>
    </row>
    <row r="129">
      <c r="C129" s="9">
        <v>46115.0</v>
      </c>
      <c r="D129" s="1" t="s">
        <v>5</v>
      </c>
      <c r="E129" s="1">
        <v>0.0</v>
      </c>
      <c r="F129" s="1">
        <v>0.0</v>
      </c>
      <c r="G129" s="2">
        <f t="shared" si="13"/>
        <v>0</v>
      </c>
      <c r="H129" s="3" t="str">
        <f t="shared" si="14"/>
        <v>#DIV/0!</v>
      </c>
      <c r="I129" s="2" t="str">
        <f t="shared" si="15"/>
        <v>#DIV/0!</v>
      </c>
      <c r="J129" s="7" t="s">
        <v>58</v>
      </c>
      <c r="K129" s="2" t="str">
        <f>MIN(H127:H156)</f>
        <v>#DIV/0!</v>
      </c>
    </row>
    <row r="130">
      <c r="C130" s="9">
        <v>46116.0</v>
      </c>
      <c r="D130" s="1" t="s">
        <v>6</v>
      </c>
      <c r="E130" s="1">
        <v>0.0</v>
      </c>
      <c r="F130" s="1">
        <v>0.0</v>
      </c>
      <c r="G130" s="2">
        <f t="shared" si="13"/>
        <v>0</v>
      </c>
      <c r="H130" s="3" t="str">
        <f t="shared" si="14"/>
        <v>#DIV/0!</v>
      </c>
      <c r="I130" s="2" t="str">
        <f t="shared" si="15"/>
        <v>#DIV/0!</v>
      </c>
    </row>
    <row r="131">
      <c r="C131" s="9">
        <v>46117.0</v>
      </c>
      <c r="D131" s="1" t="s">
        <v>7</v>
      </c>
      <c r="E131" s="1">
        <v>0.0</v>
      </c>
      <c r="F131" s="1">
        <v>0.0</v>
      </c>
      <c r="G131" s="2">
        <f t="shared" si="13"/>
        <v>0</v>
      </c>
      <c r="H131" s="3" t="str">
        <f t="shared" si="14"/>
        <v>#DIV/0!</v>
      </c>
      <c r="I131" s="2" t="str">
        <f t="shared" si="15"/>
        <v>#DIV/0!</v>
      </c>
      <c r="J131" s="7" t="s">
        <v>59</v>
      </c>
      <c r="K131" s="2" t="str">
        <f>AVERAGE(H127:H156)</f>
        <v>#DIV/0!</v>
      </c>
    </row>
    <row r="132">
      <c r="C132" s="9">
        <v>46118.0</v>
      </c>
      <c r="D132" s="1" t="s">
        <v>1</v>
      </c>
      <c r="E132" s="1">
        <v>0.0</v>
      </c>
      <c r="F132" s="1">
        <v>0.0</v>
      </c>
      <c r="G132" s="2">
        <f t="shared" si="13"/>
        <v>0</v>
      </c>
      <c r="H132" s="3" t="str">
        <f t="shared" si="14"/>
        <v>#DIV/0!</v>
      </c>
      <c r="I132" s="2" t="str">
        <f t="shared" si="15"/>
        <v>#DIV/0!</v>
      </c>
    </row>
    <row r="133">
      <c r="C133" s="9">
        <v>46119.0</v>
      </c>
      <c r="D133" s="1" t="s">
        <v>2</v>
      </c>
      <c r="E133" s="1">
        <v>0.0</v>
      </c>
      <c r="F133" s="1">
        <v>0.0</v>
      </c>
      <c r="G133" s="2">
        <f t="shared" si="13"/>
        <v>0</v>
      </c>
      <c r="H133" s="3" t="str">
        <f t="shared" si="14"/>
        <v>#DIV/0!</v>
      </c>
      <c r="I133" s="2" t="str">
        <f t="shared" si="15"/>
        <v>#DIV/0!</v>
      </c>
    </row>
    <row r="134">
      <c r="C134" s="9">
        <v>46120.0</v>
      </c>
      <c r="D134" s="1" t="s">
        <v>3</v>
      </c>
      <c r="E134" s="1">
        <v>0.0</v>
      </c>
      <c r="F134" s="1">
        <v>0.0</v>
      </c>
      <c r="G134" s="2">
        <f t="shared" si="13"/>
        <v>0</v>
      </c>
      <c r="H134" s="3" t="str">
        <f t="shared" si="14"/>
        <v>#DIV/0!</v>
      </c>
      <c r="I134" s="2" t="str">
        <f t="shared" si="15"/>
        <v>#DIV/0!</v>
      </c>
    </row>
    <row r="135">
      <c r="C135" s="9">
        <v>46121.0</v>
      </c>
      <c r="D135" s="1" t="s">
        <v>4</v>
      </c>
      <c r="E135" s="1">
        <v>0.0</v>
      </c>
      <c r="F135" s="1">
        <v>0.0</v>
      </c>
      <c r="G135" s="2">
        <f t="shared" si="13"/>
        <v>0</v>
      </c>
      <c r="H135" s="3" t="str">
        <f t="shared" si="14"/>
        <v>#DIV/0!</v>
      </c>
      <c r="I135" s="2" t="str">
        <f t="shared" si="15"/>
        <v>#DIV/0!</v>
      </c>
    </row>
    <row r="136">
      <c r="C136" s="9">
        <v>46122.0</v>
      </c>
      <c r="D136" s="1" t="s">
        <v>5</v>
      </c>
      <c r="E136" s="1">
        <v>0.0</v>
      </c>
      <c r="F136" s="1">
        <v>0.0</v>
      </c>
      <c r="G136" s="2">
        <f t="shared" si="13"/>
        <v>0</v>
      </c>
      <c r="H136" s="3" t="str">
        <f t="shared" si="14"/>
        <v>#DIV/0!</v>
      </c>
      <c r="I136" s="2" t="str">
        <f t="shared" si="15"/>
        <v>#DIV/0!</v>
      </c>
    </row>
    <row r="137">
      <c r="C137" s="9">
        <v>46123.0</v>
      </c>
      <c r="D137" s="1" t="s">
        <v>6</v>
      </c>
      <c r="E137" s="1">
        <v>0.0</v>
      </c>
      <c r="F137" s="1">
        <v>0.0</v>
      </c>
      <c r="G137" s="2">
        <f t="shared" si="13"/>
        <v>0</v>
      </c>
      <c r="H137" s="3" t="str">
        <f t="shared" si="14"/>
        <v>#DIV/0!</v>
      </c>
      <c r="I137" s="2" t="str">
        <f t="shared" si="15"/>
        <v>#DIV/0!</v>
      </c>
    </row>
    <row r="138">
      <c r="C138" s="9">
        <v>46124.0</v>
      </c>
      <c r="D138" s="1" t="s">
        <v>7</v>
      </c>
      <c r="E138" s="1">
        <v>0.0</v>
      </c>
      <c r="F138" s="1">
        <v>0.0</v>
      </c>
      <c r="G138" s="2">
        <f t="shared" si="13"/>
        <v>0</v>
      </c>
      <c r="H138" s="3" t="str">
        <f t="shared" si="14"/>
        <v>#DIV/0!</v>
      </c>
      <c r="I138" s="2" t="str">
        <f t="shared" si="15"/>
        <v>#DIV/0!</v>
      </c>
    </row>
    <row r="139">
      <c r="C139" s="9">
        <v>46125.0</v>
      </c>
      <c r="D139" s="1" t="s">
        <v>1</v>
      </c>
      <c r="E139" s="1">
        <v>0.0</v>
      </c>
      <c r="F139" s="1">
        <v>0.0</v>
      </c>
      <c r="G139" s="2">
        <f t="shared" si="13"/>
        <v>0</v>
      </c>
      <c r="H139" s="3" t="str">
        <f t="shared" si="14"/>
        <v>#DIV/0!</v>
      </c>
      <c r="I139" s="2" t="str">
        <f t="shared" si="15"/>
        <v>#DIV/0!</v>
      </c>
    </row>
    <row r="140">
      <c r="C140" s="9">
        <v>46126.0</v>
      </c>
      <c r="D140" s="1" t="s">
        <v>2</v>
      </c>
      <c r="E140" s="1">
        <v>0.0</v>
      </c>
      <c r="F140" s="1">
        <v>0.0</v>
      </c>
      <c r="G140" s="2">
        <f t="shared" si="13"/>
        <v>0</v>
      </c>
      <c r="H140" s="3" t="str">
        <f t="shared" si="14"/>
        <v>#DIV/0!</v>
      </c>
      <c r="I140" s="2" t="str">
        <f t="shared" si="15"/>
        <v>#DIV/0!</v>
      </c>
    </row>
    <row r="141">
      <c r="C141" s="9">
        <v>46127.0</v>
      </c>
      <c r="D141" s="1" t="s">
        <v>3</v>
      </c>
      <c r="E141" s="1">
        <v>0.0</v>
      </c>
      <c r="F141" s="1">
        <v>0.0</v>
      </c>
      <c r="G141" s="2">
        <f t="shared" si="13"/>
        <v>0</v>
      </c>
      <c r="H141" s="3" t="str">
        <f t="shared" si="14"/>
        <v>#DIV/0!</v>
      </c>
      <c r="I141" s="2" t="str">
        <f t="shared" si="15"/>
        <v>#DIV/0!</v>
      </c>
    </row>
    <row r="142">
      <c r="C142" s="9">
        <v>46128.0</v>
      </c>
      <c r="D142" s="1" t="s">
        <v>4</v>
      </c>
      <c r="E142" s="1">
        <v>0.0</v>
      </c>
      <c r="F142" s="1">
        <v>0.0</v>
      </c>
      <c r="G142" s="2">
        <f t="shared" si="13"/>
        <v>0</v>
      </c>
      <c r="H142" s="3" t="str">
        <f t="shared" si="14"/>
        <v>#DIV/0!</v>
      </c>
      <c r="I142" s="2" t="str">
        <f t="shared" si="15"/>
        <v>#DIV/0!</v>
      </c>
    </row>
    <row r="143">
      <c r="C143" s="9">
        <v>46129.0</v>
      </c>
      <c r="D143" s="1" t="s">
        <v>5</v>
      </c>
      <c r="E143" s="1">
        <v>0.0</v>
      </c>
      <c r="F143" s="1">
        <v>0.0</v>
      </c>
      <c r="G143" s="2">
        <f t="shared" si="13"/>
        <v>0</v>
      </c>
      <c r="H143" s="3" t="str">
        <f t="shared" si="14"/>
        <v>#DIV/0!</v>
      </c>
      <c r="I143" s="2" t="str">
        <f t="shared" si="15"/>
        <v>#DIV/0!</v>
      </c>
    </row>
    <row r="144">
      <c r="C144" s="9">
        <v>46130.0</v>
      </c>
      <c r="D144" s="1" t="s">
        <v>6</v>
      </c>
      <c r="E144" s="1">
        <v>0.0</v>
      </c>
      <c r="F144" s="1">
        <v>0.0</v>
      </c>
      <c r="G144" s="2">
        <f t="shared" si="13"/>
        <v>0</v>
      </c>
      <c r="H144" s="3" t="str">
        <f t="shared" si="14"/>
        <v>#DIV/0!</v>
      </c>
      <c r="I144" s="2" t="str">
        <f t="shared" si="15"/>
        <v>#DIV/0!</v>
      </c>
    </row>
    <row r="145">
      <c r="C145" s="9">
        <v>46131.0</v>
      </c>
      <c r="D145" s="1" t="s">
        <v>7</v>
      </c>
      <c r="E145" s="1">
        <v>0.0</v>
      </c>
      <c r="F145" s="1">
        <v>0.0</v>
      </c>
      <c r="G145" s="2">
        <f t="shared" si="13"/>
        <v>0</v>
      </c>
      <c r="H145" s="3" t="str">
        <f t="shared" si="14"/>
        <v>#DIV/0!</v>
      </c>
      <c r="I145" s="2" t="str">
        <f t="shared" si="15"/>
        <v>#DIV/0!</v>
      </c>
    </row>
    <row r="146">
      <c r="C146" s="9">
        <v>46132.0</v>
      </c>
      <c r="D146" s="1" t="s">
        <v>1</v>
      </c>
      <c r="E146" s="1">
        <v>0.0</v>
      </c>
      <c r="F146" s="1">
        <v>0.0</v>
      </c>
      <c r="G146" s="2">
        <f t="shared" si="13"/>
        <v>0</v>
      </c>
      <c r="H146" s="3" t="str">
        <f t="shared" si="14"/>
        <v>#DIV/0!</v>
      </c>
      <c r="I146" s="2" t="str">
        <f t="shared" si="15"/>
        <v>#DIV/0!</v>
      </c>
    </row>
    <row r="147">
      <c r="C147" s="9">
        <v>46133.0</v>
      </c>
      <c r="D147" s="1" t="s">
        <v>2</v>
      </c>
      <c r="E147" s="1">
        <v>0.0</v>
      </c>
      <c r="F147" s="1">
        <v>0.0</v>
      </c>
      <c r="G147" s="2">
        <f t="shared" si="13"/>
        <v>0</v>
      </c>
      <c r="H147" s="3" t="str">
        <f t="shared" si="14"/>
        <v>#DIV/0!</v>
      </c>
      <c r="I147" s="2" t="str">
        <f t="shared" si="15"/>
        <v>#DIV/0!</v>
      </c>
    </row>
    <row r="148">
      <c r="C148" s="9">
        <v>46134.0</v>
      </c>
      <c r="D148" s="1" t="s">
        <v>3</v>
      </c>
      <c r="E148" s="1">
        <v>0.0</v>
      </c>
      <c r="F148" s="1">
        <v>0.0</v>
      </c>
      <c r="G148" s="2">
        <f t="shared" si="13"/>
        <v>0</v>
      </c>
      <c r="H148" s="3" t="str">
        <f t="shared" si="14"/>
        <v>#DIV/0!</v>
      </c>
      <c r="I148" s="2" t="str">
        <f t="shared" si="15"/>
        <v>#DIV/0!</v>
      </c>
    </row>
    <row r="149">
      <c r="C149" s="9">
        <v>46135.0</v>
      </c>
      <c r="D149" s="1" t="s">
        <v>4</v>
      </c>
      <c r="E149" s="1">
        <v>0.0</v>
      </c>
      <c r="F149" s="1">
        <v>0.0</v>
      </c>
      <c r="G149" s="2">
        <f t="shared" si="13"/>
        <v>0</v>
      </c>
      <c r="H149" s="3" t="str">
        <f t="shared" si="14"/>
        <v>#DIV/0!</v>
      </c>
      <c r="I149" s="2" t="str">
        <f t="shared" si="15"/>
        <v>#DIV/0!</v>
      </c>
    </row>
    <row r="150">
      <c r="C150" s="9">
        <v>46136.0</v>
      </c>
      <c r="D150" s="1" t="s">
        <v>5</v>
      </c>
      <c r="E150" s="1">
        <v>0.0</v>
      </c>
      <c r="F150" s="1">
        <v>0.0</v>
      </c>
      <c r="G150" s="2">
        <f t="shared" si="13"/>
        <v>0</v>
      </c>
      <c r="H150" s="3" t="str">
        <f t="shared" si="14"/>
        <v>#DIV/0!</v>
      </c>
      <c r="I150" s="2" t="str">
        <f t="shared" si="15"/>
        <v>#DIV/0!</v>
      </c>
    </row>
    <row r="151">
      <c r="C151" s="9">
        <v>46137.0</v>
      </c>
      <c r="D151" s="1" t="s">
        <v>6</v>
      </c>
      <c r="E151" s="1">
        <v>0.0</v>
      </c>
      <c r="F151" s="1">
        <v>0.0</v>
      </c>
      <c r="G151" s="2">
        <f t="shared" si="13"/>
        <v>0</v>
      </c>
      <c r="H151" s="3" t="str">
        <f t="shared" si="14"/>
        <v>#DIV/0!</v>
      </c>
      <c r="I151" s="2" t="str">
        <f t="shared" si="15"/>
        <v>#DIV/0!</v>
      </c>
    </row>
    <row r="152">
      <c r="C152" s="9">
        <v>46138.0</v>
      </c>
      <c r="D152" s="1" t="s">
        <v>7</v>
      </c>
      <c r="E152" s="1">
        <v>0.0</v>
      </c>
      <c r="F152" s="1">
        <v>0.0</v>
      </c>
      <c r="G152" s="2">
        <f t="shared" si="13"/>
        <v>0</v>
      </c>
      <c r="H152" s="3" t="str">
        <f t="shared" si="14"/>
        <v>#DIV/0!</v>
      </c>
      <c r="I152" s="2" t="str">
        <f t="shared" si="15"/>
        <v>#DIV/0!</v>
      </c>
    </row>
    <row r="153">
      <c r="C153" s="9">
        <v>46139.0</v>
      </c>
      <c r="D153" s="1" t="s">
        <v>1</v>
      </c>
      <c r="E153" s="1">
        <v>0.0</v>
      </c>
      <c r="F153" s="1">
        <v>0.0</v>
      </c>
      <c r="G153" s="2">
        <f t="shared" si="13"/>
        <v>0</v>
      </c>
      <c r="H153" s="3" t="str">
        <f t="shared" si="14"/>
        <v>#DIV/0!</v>
      </c>
      <c r="I153" s="2" t="str">
        <f t="shared" si="15"/>
        <v>#DIV/0!</v>
      </c>
    </row>
    <row r="154">
      <c r="C154" s="9">
        <v>46140.0</v>
      </c>
      <c r="D154" s="1" t="s">
        <v>2</v>
      </c>
      <c r="E154" s="1">
        <v>0.0</v>
      </c>
      <c r="F154" s="1">
        <v>0.0</v>
      </c>
      <c r="G154" s="2">
        <f t="shared" si="13"/>
        <v>0</v>
      </c>
      <c r="H154" s="3" t="str">
        <f t="shared" si="14"/>
        <v>#DIV/0!</v>
      </c>
      <c r="I154" s="2" t="str">
        <f t="shared" si="15"/>
        <v>#DIV/0!</v>
      </c>
    </row>
    <row r="155">
      <c r="C155" s="9">
        <v>46141.0</v>
      </c>
      <c r="D155" s="1" t="s">
        <v>3</v>
      </c>
      <c r="E155" s="1">
        <v>0.0</v>
      </c>
      <c r="F155" s="1">
        <v>0.0</v>
      </c>
      <c r="G155" s="2">
        <f t="shared" si="13"/>
        <v>0</v>
      </c>
      <c r="H155" s="3" t="str">
        <f t="shared" si="14"/>
        <v>#DIV/0!</v>
      </c>
      <c r="I155" s="2" t="str">
        <f t="shared" si="15"/>
        <v>#DIV/0!</v>
      </c>
    </row>
    <row r="156">
      <c r="C156" s="9">
        <v>46142.0</v>
      </c>
      <c r="D156" s="1" t="s">
        <v>4</v>
      </c>
      <c r="E156" s="1">
        <v>0.0</v>
      </c>
      <c r="F156" s="1">
        <v>0.0</v>
      </c>
      <c r="G156" s="2">
        <f t="shared" si="13"/>
        <v>0</v>
      </c>
      <c r="H156" s="3" t="str">
        <f t="shared" si="14"/>
        <v>#DIV/0!</v>
      </c>
      <c r="I156" s="2" t="str">
        <f t="shared" si="15"/>
        <v>#DIV/0!</v>
      </c>
    </row>
    <row r="157">
      <c r="H157" s="3"/>
    </row>
    <row r="158">
      <c r="A158" s="1">
        <v>2026.0</v>
      </c>
      <c r="B158" s="1" t="s">
        <v>64</v>
      </c>
      <c r="C158" s="9">
        <f t="array" ref="C158:C188">SEQUENCE(31,1,DATE(2026,5,1),1)
</f>
        <v>46143</v>
      </c>
      <c r="D158" s="1" t="s">
        <v>5</v>
      </c>
      <c r="E158" s="1">
        <v>0.0</v>
      </c>
      <c r="F158" s="1">
        <v>0.0</v>
      </c>
      <c r="G158" s="2">
        <f t="shared" ref="G158:G188" si="16">(F158-E158)</f>
        <v>0</v>
      </c>
      <c r="H158" s="3" t="str">
        <f t="shared" ref="H158:H188" si="17">E158/F158</f>
        <v>#DIV/0!</v>
      </c>
      <c r="I158" s="2" t="str">
        <f t="shared" ref="I158:I188" si="18">ROUND((E158/F158)*10,1)</f>
        <v>#DIV/0!</v>
      </c>
      <c r="J158" s="7" t="s">
        <v>57</v>
      </c>
      <c r="K158" s="2" t="str">
        <f>MAX(H158:H188)</f>
        <v>#DIV/0!</v>
      </c>
    </row>
    <row r="159">
      <c r="C159" s="9">
        <v>46144.0</v>
      </c>
      <c r="D159" s="1" t="s">
        <v>6</v>
      </c>
      <c r="E159" s="1">
        <v>0.0</v>
      </c>
      <c r="F159" s="1">
        <v>0.0</v>
      </c>
      <c r="G159" s="2">
        <f t="shared" si="16"/>
        <v>0</v>
      </c>
      <c r="H159" s="3" t="str">
        <f t="shared" si="17"/>
        <v>#DIV/0!</v>
      </c>
      <c r="I159" s="2" t="str">
        <f t="shared" si="18"/>
        <v>#DIV/0!</v>
      </c>
    </row>
    <row r="160">
      <c r="C160" s="9">
        <v>46145.0</v>
      </c>
      <c r="D160" s="1" t="s">
        <v>7</v>
      </c>
      <c r="E160" s="1">
        <v>0.0</v>
      </c>
      <c r="F160" s="1">
        <v>0.0</v>
      </c>
      <c r="G160" s="2">
        <f t="shared" si="16"/>
        <v>0</v>
      </c>
      <c r="H160" s="3" t="str">
        <f t="shared" si="17"/>
        <v>#DIV/0!</v>
      </c>
      <c r="I160" s="2" t="str">
        <f t="shared" si="18"/>
        <v>#DIV/0!</v>
      </c>
      <c r="J160" s="7" t="s">
        <v>58</v>
      </c>
      <c r="K160" s="2" t="str">
        <f>MIN(H158:H188)</f>
        <v>#DIV/0!</v>
      </c>
    </row>
    <row r="161">
      <c r="C161" s="9">
        <v>46146.0</v>
      </c>
      <c r="D161" s="1" t="s">
        <v>1</v>
      </c>
      <c r="E161" s="1">
        <v>0.0</v>
      </c>
      <c r="F161" s="1">
        <v>0.0</v>
      </c>
      <c r="G161" s="2">
        <f t="shared" si="16"/>
        <v>0</v>
      </c>
      <c r="H161" s="3" t="str">
        <f t="shared" si="17"/>
        <v>#DIV/0!</v>
      </c>
      <c r="I161" s="2" t="str">
        <f t="shared" si="18"/>
        <v>#DIV/0!</v>
      </c>
    </row>
    <row r="162">
      <c r="C162" s="9">
        <v>46147.0</v>
      </c>
      <c r="D162" s="1" t="s">
        <v>2</v>
      </c>
      <c r="E162" s="1">
        <v>0.0</v>
      </c>
      <c r="F162" s="1">
        <v>0.0</v>
      </c>
      <c r="G162" s="2">
        <f t="shared" si="16"/>
        <v>0</v>
      </c>
      <c r="H162" s="3" t="str">
        <f t="shared" si="17"/>
        <v>#DIV/0!</v>
      </c>
      <c r="I162" s="2" t="str">
        <f t="shared" si="18"/>
        <v>#DIV/0!</v>
      </c>
      <c r="J162" s="7" t="s">
        <v>59</v>
      </c>
      <c r="K162" s="2" t="str">
        <f>AVERAGE(H158:H188)</f>
        <v>#DIV/0!</v>
      </c>
    </row>
    <row r="163">
      <c r="C163" s="9">
        <v>46148.0</v>
      </c>
      <c r="D163" s="1" t="s">
        <v>3</v>
      </c>
      <c r="E163" s="1">
        <v>0.0</v>
      </c>
      <c r="F163" s="1">
        <v>0.0</v>
      </c>
      <c r="G163" s="2">
        <f t="shared" si="16"/>
        <v>0</v>
      </c>
      <c r="H163" s="3" t="str">
        <f t="shared" si="17"/>
        <v>#DIV/0!</v>
      </c>
      <c r="I163" s="2" t="str">
        <f t="shared" si="18"/>
        <v>#DIV/0!</v>
      </c>
    </row>
    <row r="164">
      <c r="C164" s="9">
        <v>46149.0</v>
      </c>
      <c r="D164" s="1" t="s">
        <v>4</v>
      </c>
      <c r="E164" s="1">
        <v>0.0</v>
      </c>
      <c r="F164" s="1">
        <v>0.0</v>
      </c>
      <c r="G164" s="2">
        <f t="shared" si="16"/>
        <v>0</v>
      </c>
      <c r="H164" s="3" t="str">
        <f t="shared" si="17"/>
        <v>#DIV/0!</v>
      </c>
      <c r="I164" s="2" t="str">
        <f t="shared" si="18"/>
        <v>#DIV/0!</v>
      </c>
    </row>
    <row r="165">
      <c r="C165" s="9">
        <v>46150.0</v>
      </c>
      <c r="D165" s="1" t="s">
        <v>5</v>
      </c>
      <c r="E165" s="1">
        <v>0.0</v>
      </c>
      <c r="F165" s="1">
        <v>0.0</v>
      </c>
      <c r="G165" s="2">
        <f t="shared" si="16"/>
        <v>0</v>
      </c>
      <c r="H165" s="3" t="str">
        <f t="shared" si="17"/>
        <v>#DIV/0!</v>
      </c>
      <c r="I165" s="2" t="str">
        <f t="shared" si="18"/>
        <v>#DIV/0!</v>
      </c>
    </row>
    <row r="166">
      <c r="C166" s="9">
        <v>46151.0</v>
      </c>
      <c r="D166" s="1" t="s">
        <v>6</v>
      </c>
      <c r="E166" s="1">
        <v>0.0</v>
      </c>
      <c r="F166" s="1">
        <v>0.0</v>
      </c>
      <c r="G166" s="2">
        <f t="shared" si="16"/>
        <v>0</v>
      </c>
      <c r="H166" s="3" t="str">
        <f t="shared" si="17"/>
        <v>#DIV/0!</v>
      </c>
      <c r="I166" s="2" t="str">
        <f t="shared" si="18"/>
        <v>#DIV/0!</v>
      </c>
    </row>
    <row r="167">
      <c r="C167" s="9">
        <v>46152.0</v>
      </c>
      <c r="D167" s="1" t="s">
        <v>7</v>
      </c>
      <c r="E167" s="1">
        <v>0.0</v>
      </c>
      <c r="F167" s="1">
        <v>0.0</v>
      </c>
      <c r="G167" s="2">
        <f t="shared" si="16"/>
        <v>0</v>
      </c>
      <c r="H167" s="3" t="str">
        <f t="shared" si="17"/>
        <v>#DIV/0!</v>
      </c>
      <c r="I167" s="2" t="str">
        <f t="shared" si="18"/>
        <v>#DIV/0!</v>
      </c>
    </row>
    <row r="168">
      <c r="C168" s="9">
        <v>46153.0</v>
      </c>
      <c r="D168" s="1" t="s">
        <v>1</v>
      </c>
      <c r="E168" s="1">
        <v>0.0</v>
      </c>
      <c r="F168" s="1">
        <v>0.0</v>
      </c>
      <c r="G168" s="2">
        <f t="shared" si="16"/>
        <v>0</v>
      </c>
      <c r="H168" s="3" t="str">
        <f t="shared" si="17"/>
        <v>#DIV/0!</v>
      </c>
      <c r="I168" s="2" t="str">
        <f t="shared" si="18"/>
        <v>#DIV/0!</v>
      </c>
    </row>
    <row r="169">
      <c r="C169" s="9">
        <v>46154.0</v>
      </c>
      <c r="D169" s="1" t="s">
        <v>2</v>
      </c>
      <c r="E169" s="1">
        <v>0.0</v>
      </c>
      <c r="F169" s="1">
        <v>0.0</v>
      </c>
      <c r="G169" s="2">
        <f t="shared" si="16"/>
        <v>0</v>
      </c>
      <c r="H169" s="3" t="str">
        <f t="shared" si="17"/>
        <v>#DIV/0!</v>
      </c>
      <c r="I169" s="2" t="str">
        <f t="shared" si="18"/>
        <v>#DIV/0!</v>
      </c>
    </row>
    <row r="170">
      <c r="C170" s="9">
        <v>46155.0</v>
      </c>
      <c r="D170" s="1" t="s">
        <v>3</v>
      </c>
      <c r="E170" s="1">
        <v>0.0</v>
      </c>
      <c r="F170" s="1">
        <v>0.0</v>
      </c>
      <c r="G170" s="2">
        <f t="shared" si="16"/>
        <v>0</v>
      </c>
      <c r="H170" s="3" t="str">
        <f t="shared" si="17"/>
        <v>#DIV/0!</v>
      </c>
      <c r="I170" s="2" t="str">
        <f t="shared" si="18"/>
        <v>#DIV/0!</v>
      </c>
    </row>
    <row r="171">
      <c r="C171" s="9">
        <v>46156.0</v>
      </c>
      <c r="D171" s="1" t="s">
        <v>4</v>
      </c>
      <c r="E171" s="1">
        <v>0.0</v>
      </c>
      <c r="F171" s="1">
        <v>0.0</v>
      </c>
      <c r="G171" s="2">
        <f t="shared" si="16"/>
        <v>0</v>
      </c>
      <c r="H171" s="3" t="str">
        <f t="shared" si="17"/>
        <v>#DIV/0!</v>
      </c>
      <c r="I171" s="2" t="str">
        <f t="shared" si="18"/>
        <v>#DIV/0!</v>
      </c>
    </row>
    <row r="172">
      <c r="C172" s="9">
        <v>46157.0</v>
      </c>
      <c r="D172" s="1" t="s">
        <v>5</v>
      </c>
      <c r="E172" s="1">
        <v>0.0</v>
      </c>
      <c r="F172" s="1">
        <v>0.0</v>
      </c>
      <c r="G172" s="2">
        <f t="shared" si="16"/>
        <v>0</v>
      </c>
      <c r="H172" s="3" t="str">
        <f t="shared" si="17"/>
        <v>#DIV/0!</v>
      </c>
      <c r="I172" s="2" t="str">
        <f t="shared" si="18"/>
        <v>#DIV/0!</v>
      </c>
    </row>
    <row r="173">
      <c r="C173" s="9">
        <v>46158.0</v>
      </c>
      <c r="D173" s="1" t="s">
        <v>6</v>
      </c>
      <c r="E173" s="1">
        <v>0.0</v>
      </c>
      <c r="F173" s="1">
        <v>0.0</v>
      </c>
      <c r="G173" s="2">
        <f t="shared" si="16"/>
        <v>0</v>
      </c>
      <c r="H173" s="3" t="str">
        <f t="shared" si="17"/>
        <v>#DIV/0!</v>
      </c>
      <c r="I173" s="2" t="str">
        <f t="shared" si="18"/>
        <v>#DIV/0!</v>
      </c>
    </row>
    <row r="174">
      <c r="C174" s="9">
        <v>46159.0</v>
      </c>
      <c r="D174" s="1" t="s">
        <v>7</v>
      </c>
      <c r="E174" s="1">
        <v>0.0</v>
      </c>
      <c r="F174" s="1">
        <v>0.0</v>
      </c>
      <c r="G174" s="2">
        <f t="shared" si="16"/>
        <v>0</v>
      </c>
      <c r="H174" s="3" t="str">
        <f t="shared" si="17"/>
        <v>#DIV/0!</v>
      </c>
      <c r="I174" s="2" t="str">
        <f t="shared" si="18"/>
        <v>#DIV/0!</v>
      </c>
    </row>
    <row r="175">
      <c r="C175" s="9">
        <v>46160.0</v>
      </c>
      <c r="D175" s="1" t="s">
        <v>1</v>
      </c>
      <c r="E175" s="1">
        <v>0.0</v>
      </c>
      <c r="F175" s="1">
        <v>0.0</v>
      </c>
      <c r="G175" s="2">
        <f t="shared" si="16"/>
        <v>0</v>
      </c>
      <c r="H175" s="3" t="str">
        <f t="shared" si="17"/>
        <v>#DIV/0!</v>
      </c>
      <c r="I175" s="2" t="str">
        <f t="shared" si="18"/>
        <v>#DIV/0!</v>
      </c>
    </row>
    <row r="176">
      <c r="C176" s="9">
        <v>46161.0</v>
      </c>
      <c r="D176" s="1" t="s">
        <v>2</v>
      </c>
      <c r="E176" s="1">
        <v>0.0</v>
      </c>
      <c r="F176" s="1">
        <v>0.0</v>
      </c>
      <c r="G176" s="2">
        <f t="shared" si="16"/>
        <v>0</v>
      </c>
      <c r="H176" s="3" t="str">
        <f t="shared" si="17"/>
        <v>#DIV/0!</v>
      </c>
      <c r="I176" s="2" t="str">
        <f t="shared" si="18"/>
        <v>#DIV/0!</v>
      </c>
    </row>
    <row r="177">
      <c r="C177" s="9">
        <v>46162.0</v>
      </c>
      <c r="D177" s="1" t="s">
        <v>3</v>
      </c>
      <c r="E177" s="1">
        <v>0.0</v>
      </c>
      <c r="F177" s="1">
        <v>0.0</v>
      </c>
      <c r="G177" s="2">
        <f t="shared" si="16"/>
        <v>0</v>
      </c>
      <c r="H177" s="3" t="str">
        <f t="shared" si="17"/>
        <v>#DIV/0!</v>
      </c>
      <c r="I177" s="2" t="str">
        <f t="shared" si="18"/>
        <v>#DIV/0!</v>
      </c>
    </row>
    <row r="178">
      <c r="C178" s="9">
        <v>46163.0</v>
      </c>
      <c r="D178" s="1" t="s">
        <v>4</v>
      </c>
      <c r="E178" s="1">
        <v>0.0</v>
      </c>
      <c r="F178" s="1">
        <v>0.0</v>
      </c>
      <c r="G178" s="2">
        <f t="shared" si="16"/>
        <v>0</v>
      </c>
      <c r="H178" s="3" t="str">
        <f t="shared" si="17"/>
        <v>#DIV/0!</v>
      </c>
      <c r="I178" s="2" t="str">
        <f t="shared" si="18"/>
        <v>#DIV/0!</v>
      </c>
    </row>
    <row r="179">
      <c r="C179" s="9">
        <v>46164.0</v>
      </c>
      <c r="D179" s="1" t="s">
        <v>5</v>
      </c>
      <c r="E179" s="1">
        <v>0.0</v>
      </c>
      <c r="F179" s="1">
        <v>0.0</v>
      </c>
      <c r="G179" s="2">
        <f t="shared" si="16"/>
        <v>0</v>
      </c>
      <c r="H179" s="3" t="str">
        <f t="shared" si="17"/>
        <v>#DIV/0!</v>
      </c>
      <c r="I179" s="2" t="str">
        <f t="shared" si="18"/>
        <v>#DIV/0!</v>
      </c>
    </row>
    <row r="180">
      <c r="C180" s="9">
        <v>46165.0</v>
      </c>
      <c r="D180" s="1" t="s">
        <v>6</v>
      </c>
      <c r="E180" s="1">
        <v>0.0</v>
      </c>
      <c r="F180" s="1">
        <v>0.0</v>
      </c>
      <c r="G180" s="2">
        <f t="shared" si="16"/>
        <v>0</v>
      </c>
      <c r="H180" s="3" t="str">
        <f t="shared" si="17"/>
        <v>#DIV/0!</v>
      </c>
      <c r="I180" s="2" t="str">
        <f t="shared" si="18"/>
        <v>#DIV/0!</v>
      </c>
    </row>
    <row r="181">
      <c r="C181" s="9">
        <v>46166.0</v>
      </c>
      <c r="D181" s="1" t="s">
        <v>7</v>
      </c>
      <c r="E181" s="1">
        <v>0.0</v>
      </c>
      <c r="F181" s="1">
        <v>0.0</v>
      </c>
      <c r="G181" s="2">
        <f t="shared" si="16"/>
        <v>0</v>
      </c>
      <c r="H181" s="3" t="str">
        <f t="shared" si="17"/>
        <v>#DIV/0!</v>
      </c>
      <c r="I181" s="2" t="str">
        <f t="shared" si="18"/>
        <v>#DIV/0!</v>
      </c>
    </row>
    <row r="182">
      <c r="C182" s="9">
        <v>46167.0</v>
      </c>
      <c r="D182" s="1" t="s">
        <v>1</v>
      </c>
      <c r="E182" s="1">
        <v>0.0</v>
      </c>
      <c r="F182" s="1">
        <v>0.0</v>
      </c>
      <c r="G182" s="2">
        <f t="shared" si="16"/>
        <v>0</v>
      </c>
      <c r="H182" s="3" t="str">
        <f t="shared" si="17"/>
        <v>#DIV/0!</v>
      </c>
      <c r="I182" s="2" t="str">
        <f t="shared" si="18"/>
        <v>#DIV/0!</v>
      </c>
    </row>
    <row r="183">
      <c r="C183" s="9">
        <v>46168.0</v>
      </c>
      <c r="D183" s="1" t="s">
        <v>2</v>
      </c>
      <c r="E183" s="1">
        <v>0.0</v>
      </c>
      <c r="F183" s="1">
        <v>0.0</v>
      </c>
      <c r="G183" s="2">
        <f t="shared" si="16"/>
        <v>0</v>
      </c>
      <c r="H183" s="3" t="str">
        <f t="shared" si="17"/>
        <v>#DIV/0!</v>
      </c>
      <c r="I183" s="2" t="str">
        <f t="shared" si="18"/>
        <v>#DIV/0!</v>
      </c>
    </row>
    <row r="184">
      <c r="C184" s="9">
        <v>46169.0</v>
      </c>
      <c r="D184" s="1" t="s">
        <v>3</v>
      </c>
      <c r="E184" s="1">
        <v>0.0</v>
      </c>
      <c r="F184" s="1">
        <v>0.0</v>
      </c>
      <c r="G184" s="2">
        <f t="shared" si="16"/>
        <v>0</v>
      </c>
      <c r="H184" s="3" t="str">
        <f t="shared" si="17"/>
        <v>#DIV/0!</v>
      </c>
      <c r="I184" s="2" t="str">
        <f t="shared" si="18"/>
        <v>#DIV/0!</v>
      </c>
    </row>
    <row r="185">
      <c r="C185" s="9">
        <v>46170.0</v>
      </c>
      <c r="D185" s="1" t="s">
        <v>4</v>
      </c>
      <c r="E185" s="1">
        <v>0.0</v>
      </c>
      <c r="F185" s="1">
        <v>0.0</v>
      </c>
      <c r="G185" s="2">
        <f t="shared" si="16"/>
        <v>0</v>
      </c>
      <c r="H185" s="3" t="str">
        <f t="shared" si="17"/>
        <v>#DIV/0!</v>
      </c>
      <c r="I185" s="2" t="str">
        <f t="shared" si="18"/>
        <v>#DIV/0!</v>
      </c>
    </row>
    <row r="186">
      <c r="C186" s="9">
        <v>46171.0</v>
      </c>
      <c r="D186" s="1" t="s">
        <v>5</v>
      </c>
      <c r="E186" s="1">
        <v>0.0</v>
      </c>
      <c r="F186" s="1">
        <v>0.0</v>
      </c>
      <c r="G186" s="2">
        <f t="shared" si="16"/>
        <v>0</v>
      </c>
      <c r="H186" s="3" t="str">
        <f t="shared" si="17"/>
        <v>#DIV/0!</v>
      </c>
      <c r="I186" s="2" t="str">
        <f t="shared" si="18"/>
        <v>#DIV/0!</v>
      </c>
    </row>
    <row r="187">
      <c r="C187" s="9">
        <v>46172.0</v>
      </c>
      <c r="D187" s="1" t="s">
        <v>6</v>
      </c>
      <c r="E187" s="1">
        <v>0.0</v>
      </c>
      <c r="F187" s="1">
        <v>0.0</v>
      </c>
      <c r="G187" s="2">
        <f t="shared" si="16"/>
        <v>0</v>
      </c>
      <c r="H187" s="3" t="str">
        <f t="shared" si="17"/>
        <v>#DIV/0!</v>
      </c>
      <c r="I187" s="2" t="str">
        <f t="shared" si="18"/>
        <v>#DIV/0!</v>
      </c>
    </row>
    <row r="188">
      <c r="C188" s="9">
        <v>46173.0</v>
      </c>
      <c r="D188" s="1" t="s">
        <v>7</v>
      </c>
      <c r="E188" s="1">
        <v>0.0</v>
      </c>
      <c r="F188" s="1">
        <v>0.0</v>
      </c>
      <c r="G188" s="2">
        <f t="shared" si="16"/>
        <v>0</v>
      </c>
      <c r="H188" s="3" t="str">
        <f t="shared" si="17"/>
        <v>#DIV/0!</v>
      </c>
      <c r="I188" s="2" t="str">
        <f t="shared" si="18"/>
        <v>#DIV/0!</v>
      </c>
    </row>
    <row r="189">
      <c r="H189" s="3"/>
    </row>
    <row r="190">
      <c r="A190" s="1">
        <v>2026.0</v>
      </c>
      <c r="B190" s="1" t="s">
        <v>65</v>
      </c>
      <c r="C190" s="9">
        <f t="array" ref="C190:C219">SEQUENCE(30,1,DATE(2026,6,1),1)
</f>
        <v>46174</v>
      </c>
      <c r="D190" s="1" t="s">
        <v>1</v>
      </c>
      <c r="E190" s="1">
        <v>0.0</v>
      </c>
      <c r="F190" s="1">
        <v>0.0</v>
      </c>
      <c r="G190" s="2">
        <f t="shared" ref="G190:G219" si="19">(F190-E190)</f>
        <v>0</v>
      </c>
      <c r="H190" s="3" t="str">
        <f t="shared" ref="H190:H219" si="20">E190/F190</f>
        <v>#DIV/0!</v>
      </c>
      <c r="I190" s="2" t="str">
        <f t="shared" ref="I190:I219" si="21">ROUND((E190/F190)*10,1)</f>
        <v>#DIV/0!</v>
      </c>
      <c r="J190" s="7" t="s">
        <v>57</v>
      </c>
      <c r="K190" s="2" t="str">
        <f>MAX(H190:H219)</f>
        <v>#DIV/0!</v>
      </c>
    </row>
    <row r="191">
      <c r="C191" s="9">
        <v>46175.0</v>
      </c>
      <c r="D191" s="1" t="s">
        <v>2</v>
      </c>
      <c r="E191" s="1">
        <v>0.0</v>
      </c>
      <c r="F191" s="1">
        <v>0.0</v>
      </c>
      <c r="G191" s="2">
        <f t="shared" si="19"/>
        <v>0</v>
      </c>
      <c r="H191" s="3" t="str">
        <f t="shared" si="20"/>
        <v>#DIV/0!</v>
      </c>
      <c r="I191" s="2" t="str">
        <f t="shared" si="21"/>
        <v>#DIV/0!</v>
      </c>
    </row>
    <row r="192">
      <c r="C192" s="9">
        <v>46176.0</v>
      </c>
      <c r="D192" s="1" t="s">
        <v>3</v>
      </c>
      <c r="E192" s="1">
        <v>0.0</v>
      </c>
      <c r="F192" s="1">
        <v>0.0</v>
      </c>
      <c r="G192" s="2">
        <f t="shared" si="19"/>
        <v>0</v>
      </c>
      <c r="H192" s="3" t="str">
        <f t="shared" si="20"/>
        <v>#DIV/0!</v>
      </c>
      <c r="I192" s="2" t="str">
        <f t="shared" si="21"/>
        <v>#DIV/0!</v>
      </c>
      <c r="J192" s="7" t="s">
        <v>58</v>
      </c>
      <c r="K192" s="2" t="str">
        <f>MIN(H190:H219)</f>
        <v>#DIV/0!</v>
      </c>
    </row>
    <row r="193">
      <c r="C193" s="9">
        <v>46177.0</v>
      </c>
      <c r="D193" s="1" t="s">
        <v>4</v>
      </c>
      <c r="E193" s="1">
        <v>0.0</v>
      </c>
      <c r="F193" s="1">
        <v>0.0</v>
      </c>
      <c r="G193" s="2">
        <f t="shared" si="19"/>
        <v>0</v>
      </c>
      <c r="H193" s="3" t="str">
        <f t="shared" si="20"/>
        <v>#DIV/0!</v>
      </c>
      <c r="I193" s="2" t="str">
        <f t="shared" si="21"/>
        <v>#DIV/0!</v>
      </c>
    </row>
    <row r="194">
      <c r="C194" s="9">
        <v>46178.0</v>
      </c>
      <c r="D194" s="1" t="s">
        <v>5</v>
      </c>
      <c r="E194" s="1">
        <v>0.0</v>
      </c>
      <c r="F194" s="1">
        <v>0.0</v>
      </c>
      <c r="G194" s="2">
        <f t="shared" si="19"/>
        <v>0</v>
      </c>
      <c r="H194" s="3" t="str">
        <f t="shared" si="20"/>
        <v>#DIV/0!</v>
      </c>
      <c r="I194" s="2" t="str">
        <f t="shared" si="21"/>
        <v>#DIV/0!</v>
      </c>
      <c r="J194" s="7" t="s">
        <v>59</v>
      </c>
      <c r="K194" s="2" t="str">
        <f>AVERAGE(H190:H219)</f>
        <v>#DIV/0!</v>
      </c>
    </row>
    <row r="195">
      <c r="C195" s="9">
        <v>46179.0</v>
      </c>
      <c r="D195" s="1" t="s">
        <v>6</v>
      </c>
      <c r="E195" s="1">
        <v>0.0</v>
      </c>
      <c r="F195" s="1">
        <v>0.0</v>
      </c>
      <c r="G195" s="2">
        <f t="shared" si="19"/>
        <v>0</v>
      </c>
      <c r="H195" s="3" t="str">
        <f t="shared" si="20"/>
        <v>#DIV/0!</v>
      </c>
      <c r="I195" s="2" t="str">
        <f t="shared" si="21"/>
        <v>#DIV/0!</v>
      </c>
    </row>
    <row r="196">
      <c r="C196" s="9">
        <v>46180.0</v>
      </c>
      <c r="D196" s="1" t="s">
        <v>7</v>
      </c>
      <c r="E196" s="1">
        <v>0.0</v>
      </c>
      <c r="F196" s="1">
        <v>0.0</v>
      </c>
      <c r="G196" s="2">
        <f t="shared" si="19"/>
        <v>0</v>
      </c>
      <c r="H196" s="3" t="str">
        <f t="shared" si="20"/>
        <v>#DIV/0!</v>
      </c>
      <c r="I196" s="2" t="str">
        <f t="shared" si="21"/>
        <v>#DIV/0!</v>
      </c>
    </row>
    <row r="197">
      <c r="C197" s="9">
        <v>46181.0</v>
      </c>
      <c r="D197" s="1" t="s">
        <v>1</v>
      </c>
      <c r="E197" s="1">
        <v>0.0</v>
      </c>
      <c r="F197" s="1">
        <v>0.0</v>
      </c>
      <c r="G197" s="2">
        <f t="shared" si="19"/>
        <v>0</v>
      </c>
      <c r="H197" s="3" t="str">
        <f t="shared" si="20"/>
        <v>#DIV/0!</v>
      </c>
      <c r="I197" s="2" t="str">
        <f t="shared" si="21"/>
        <v>#DIV/0!</v>
      </c>
    </row>
    <row r="198">
      <c r="C198" s="9">
        <v>46182.0</v>
      </c>
      <c r="D198" s="1" t="s">
        <v>2</v>
      </c>
      <c r="E198" s="1">
        <v>0.0</v>
      </c>
      <c r="F198" s="1">
        <v>0.0</v>
      </c>
      <c r="G198" s="2">
        <f t="shared" si="19"/>
        <v>0</v>
      </c>
      <c r="H198" s="3" t="str">
        <f t="shared" si="20"/>
        <v>#DIV/0!</v>
      </c>
      <c r="I198" s="2" t="str">
        <f t="shared" si="21"/>
        <v>#DIV/0!</v>
      </c>
    </row>
    <row r="199">
      <c r="C199" s="9">
        <v>46183.0</v>
      </c>
      <c r="D199" s="1" t="s">
        <v>3</v>
      </c>
      <c r="E199" s="1">
        <v>0.0</v>
      </c>
      <c r="F199" s="1">
        <v>0.0</v>
      </c>
      <c r="G199" s="2">
        <f t="shared" si="19"/>
        <v>0</v>
      </c>
      <c r="H199" s="3" t="str">
        <f t="shared" si="20"/>
        <v>#DIV/0!</v>
      </c>
      <c r="I199" s="2" t="str">
        <f t="shared" si="21"/>
        <v>#DIV/0!</v>
      </c>
    </row>
    <row r="200">
      <c r="C200" s="9">
        <v>46184.0</v>
      </c>
      <c r="D200" s="1" t="s">
        <v>4</v>
      </c>
      <c r="E200" s="1">
        <v>0.0</v>
      </c>
      <c r="F200" s="1">
        <v>0.0</v>
      </c>
      <c r="G200" s="2">
        <f t="shared" si="19"/>
        <v>0</v>
      </c>
      <c r="H200" s="3" t="str">
        <f t="shared" si="20"/>
        <v>#DIV/0!</v>
      </c>
      <c r="I200" s="2" t="str">
        <f t="shared" si="21"/>
        <v>#DIV/0!</v>
      </c>
    </row>
    <row r="201">
      <c r="C201" s="9">
        <v>46185.0</v>
      </c>
      <c r="D201" s="1" t="s">
        <v>5</v>
      </c>
      <c r="E201" s="1">
        <v>0.0</v>
      </c>
      <c r="F201" s="1">
        <v>0.0</v>
      </c>
      <c r="G201" s="2">
        <f t="shared" si="19"/>
        <v>0</v>
      </c>
      <c r="H201" s="3" t="str">
        <f t="shared" si="20"/>
        <v>#DIV/0!</v>
      </c>
      <c r="I201" s="2" t="str">
        <f t="shared" si="21"/>
        <v>#DIV/0!</v>
      </c>
    </row>
    <row r="202">
      <c r="C202" s="9">
        <v>46186.0</v>
      </c>
      <c r="D202" s="1" t="s">
        <v>6</v>
      </c>
      <c r="E202" s="1">
        <v>0.0</v>
      </c>
      <c r="F202" s="1">
        <v>0.0</v>
      </c>
      <c r="G202" s="2">
        <f t="shared" si="19"/>
        <v>0</v>
      </c>
      <c r="H202" s="3" t="str">
        <f t="shared" si="20"/>
        <v>#DIV/0!</v>
      </c>
      <c r="I202" s="2" t="str">
        <f t="shared" si="21"/>
        <v>#DIV/0!</v>
      </c>
    </row>
    <row r="203">
      <c r="C203" s="9">
        <v>46187.0</v>
      </c>
      <c r="D203" s="1" t="s">
        <v>7</v>
      </c>
      <c r="E203" s="1">
        <v>0.0</v>
      </c>
      <c r="F203" s="1">
        <v>0.0</v>
      </c>
      <c r="G203" s="2">
        <f t="shared" si="19"/>
        <v>0</v>
      </c>
      <c r="H203" s="3" t="str">
        <f t="shared" si="20"/>
        <v>#DIV/0!</v>
      </c>
      <c r="I203" s="2" t="str">
        <f t="shared" si="21"/>
        <v>#DIV/0!</v>
      </c>
    </row>
    <row r="204">
      <c r="C204" s="9">
        <v>46188.0</v>
      </c>
      <c r="D204" s="1" t="s">
        <v>1</v>
      </c>
      <c r="E204" s="1">
        <v>0.0</v>
      </c>
      <c r="F204" s="1">
        <v>0.0</v>
      </c>
      <c r="G204" s="2">
        <f t="shared" si="19"/>
        <v>0</v>
      </c>
      <c r="H204" s="3" t="str">
        <f t="shared" si="20"/>
        <v>#DIV/0!</v>
      </c>
      <c r="I204" s="2" t="str">
        <f t="shared" si="21"/>
        <v>#DIV/0!</v>
      </c>
    </row>
    <row r="205">
      <c r="C205" s="9">
        <v>46189.0</v>
      </c>
      <c r="D205" s="1" t="s">
        <v>2</v>
      </c>
      <c r="E205" s="1">
        <v>0.0</v>
      </c>
      <c r="F205" s="1">
        <v>0.0</v>
      </c>
      <c r="G205" s="2">
        <f t="shared" si="19"/>
        <v>0</v>
      </c>
      <c r="H205" s="3" t="str">
        <f t="shared" si="20"/>
        <v>#DIV/0!</v>
      </c>
      <c r="I205" s="2" t="str">
        <f t="shared" si="21"/>
        <v>#DIV/0!</v>
      </c>
    </row>
    <row r="206">
      <c r="C206" s="9">
        <v>46190.0</v>
      </c>
      <c r="D206" s="1" t="s">
        <v>3</v>
      </c>
      <c r="E206" s="1">
        <v>0.0</v>
      </c>
      <c r="F206" s="1">
        <v>0.0</v>
      </c>
      <c r="G206" s="2">
        <f t="shared" si="19"/>
        <v>0</v>
      </c>
      <c r="H206" s="3" t="str">
        <f t="shared" si="20"/>
        <v>#DIV/0!</v>
      </c>
      <c r="I206" s="2" t="str">
        <f t="shared" si="21"/>
        <v>#DIV/0!</v>
      </c>
    </row>
    <row r="207">
      <c r="C207" s="9">
        <v>46191.0</v>
      </c>
      <c r="D207" s="1" t="s">
        <v>4</v>
      </c>
      <c r="E207" s="1">
        <v>0.0</v>
      </c>
      <c r="F207" s="1">
        <v>0.0</v>
      </c>
      <c r="G207" s="2">
        <f t="shared" si="19"/>
        <v>0</v>
      </c>
      <c r="H207" s="3" t="str">
        <f t="shared" si="20"/>
        <v>#DIV/0!</v>
      </c>
      <c r="I207" s="2" t="str">
        <f t="shared" si="21"/>
        <v>#DIV/0!</v>
      </c>
    </row>
    <row r="208">
      <c r="C208" s="9">
        <v>46192.0</v>
      </c>
      <c r="D208" s="1" t="s">
        <v>5</v>
      </c>
      <c r="E208" s="1">
        <v>0.0</v>
      </c>
      <c r="F208" s="1">
        <v>0.0</v>
      </c>
      <c r="G208" s="2">
        <f t="shared" si="19"/>
        <v>0</v>
      </c>
      <c r="H208" s="3" t="str">
        <f t="shared" si="20"/>
        <v>#DIV/0!</v>
      </c>
      <c r="I208" s="2" t="str">
        <f t="shared" si="21"/>
        <v>#DIV/0!</v>
      </c>
    </row>
    <row r="209">
      <c r="C209" s="9">
        <v>46193.0</v>
      </c>
      <c r="D209" s="1" t="s">
        <v>6</v>
      </c>
      <c r="E209" s="1">
        <v>0.0</v>
      </c>
      <c r="F209" s="1">
        <v>0.0</v>
      </c>
      <c r="G209" s="2">
        <f t="shared" si="19"/>
        <v>0</v>
      </c>
      <c r="H209" s="3" t="str">
        <f t="shared" si="20"/>
        <v>#DIV/0!</v>
      </c>
      <c r="I209" s="2" t="str">
        <f t="shared" si="21"/>
        <v>#DIV/0!</v>
      </c>
    </row>
    <row r="210">
      <c r="C210" s="9">
        <v>46194.0</v>
      </c>
      <c r="D210" s="1" t="s">
        <v>7</v>
      </c>
      <c r="E210" s="1">
        <v>0.0</v>
      </c>
      <c r="F210" s="1">
        <v>0.0</v>
      </c>
      <c r="G210" s="2">
        <f t="shared" si="19"/>
        <v>0</v>
      </c>
      <c r="H210" s="3" t="str">
        <f t="shared" si="20"/>
        <v>#DIV/0!</v>
      </c>
      <c r="I210" s="2" t="str">
        <f t="shared" si="21"/>
        <v>#DIV/0!</v>
      </c>
    </row>
    <row r="211">
      <c r="C211" s="9">
        <v>46195.0</v>
      </c>
      <c r="D211" s="1" t="s">
        <v>1</v>
      </c>
      <c r="E211" s="1">
        <v>0.0</v>
      </c>
      <c r="F211" s="1">
        <v>0.0</v>
      </c>
      <c r="G211" s="2">
        <f t="shared" si="19"/>
        <v>0</v>
      </c>
      <c r="H211" s="3" t="str">
        <f t="shared" si="20"/>
        <v>#DIV/0!</v>
      </c>
      <c r="I211" s="2" t="str">
        <f t="shared" si="21"/>
        <v>#DIV/0!</v>
      </c>
    </row>
    <row r="212">
      <c r="C212" s="9">
        <v>46196.0</v>
      </c>
      <c r="D212" s="1" t="s">
        <v>2</v>
      </c>
      <c r="E212" s="1">
        <v>0.0</v>
      </c>
      <c r="F212" s="1">
        <v>0.0</v>
      </c>
      <c r="G212" s="2">
        <f t="shared" si="19"/>
        <v>0</v>
      </c>
      <c r="H212" s="3" t="str">
        <f t="shared" si="20"/>
        <v>#DIV/0!</v>
      </c>
      <c r="I212" s="2" t="str">
        <f t="shared" si="21"/>
        <v>#DIV/0!</v>
      </c>
    </row>
    <row r="213">
      <c r="C213" s="9">
        <v>46197.0</v>
      </c>
      <c r="D213" s="1" t="s">
        <v>3</v>
      </c>
      <c r="E213" s="1">
        <v>0.0</v>
      </c>
      <c r="F213" s="1">
        <v>0.0</v>
      </c>
      <c r="G213" s="2">
        <f t="shared" si="19"/>
        <v>0</v>
      </c>
      <c r="H213" s="3" t="str">
        <f t="shared" si="20"/>
        <v>#DIV/0!</v>
      </c>
      <c r="I213" s="2" t="str">
        <f t="shared" si="21"/>
        <v>#DIV/0!</v>
      </c>
    </row>
    <row r="214">
      <c r="C214" s="9">
        <v>46198.0</v>
      </c>
      <c r="D214" s="1" t="s">
        <v>4</v>
      </c>
      <c r="E214" s="1">
        <v>0.0</v>
      </c>
      <c r="F214" s="1">
        <v>0.0</v>
      </c>
      <c r="G214" s="2">
        <f t="shared" si="19"/>
        <v>0</v>
      </c>
      <c r="H214" s="3" t="str">
        <f t="shared" si="20"/>
        <v>#DIV/0!</v>
      </c>
      <c r="I214" s="2" t="str">
        <f t="shared" si="21"/>
        <v>#DIV/0!</v>
      </c>
    </row>
    <row r="215">
      <c r="C215" s="9">
        <v>46199.0</v>
      </c>
      <c r="D215" s="1" t="s">
        <v>5</v>
      </c>
      <c r="E215" s="1">
        <v>0.0</v>
      </c>
      <c r="F215" s="1">
        <v>0.0</v>
      </c>
      <c r="G215" s="2">
        <f t="shared" si="19"/>
        <v>0</v>
      </c>
      <c r="H215" s="3" t="str">
        <f t="shared" si="20"/>
        <v>#DIV/0!</v>
      </c>
      <c r="I215" s="2" t="str">
        <f t="shared" si="21"/>
        <v>#DIV/0!</v>
      </c>
    </row>
    <row r="216">
      <c r="C216" s="9">
        <v>46200.0</v>
      </c>
      <c r="D216" s="1" t="s">
        <v>6</v>
      </c>
      <c r="E216" s="1">
        <v>0.0</v>
      </c>
      <c r="F216" s="1">
        <v>0.0</v>
      </c>
      <c r="G216" s="2">
        <f t="shared" si="19"/>
        <v>0</v>
      </c>
      <c r="H216" s="3" t="str">
        <f t="shared" si="20"/>
        <v>#DIV/0!</v>
      </c>
      <c r="I216" s="2" t="str">
        <f t="shared" si="21"/>
        <v>#DIV/0!</v>
      </c>
    </row>
    <row r="217">
      <c r="C217" s="9">
        <v>46201.0</v>
      </c>
      <c r="D217" s="1" t="s">
        <v>7</v>
      </c>
      <c r="E217" s="1">
        <v>0.0</v>
      </c>
      <c r="F217" s="1">
        <v>0.0</v>
      </c>
      <c r="G217" s="2">
        <f t="shared" si="19"/>
        <v>0</v>
      </c>
      <c r="H217" s="3" t="str">
        <f t="shared" si="20"/>
        <v>#DIV/0!</v>
      </c>
      <c r="I217" s="2" t="str">
        <f t="shared" si="21"/>
        <v>#DIV/0!</v>
      </c>
    </row>
    <row r="218">
      <c r="C218" s="9">
        <v>46202.0</v>
      </c>
      <c r="D218" s="1" t="s">
        <v>1</v>
      </c>
      <c r="E218" s="1">
        <v>0.0</v>
      </c>
      <c r="F218" s="1">
        <v>0.0</v>
      </c>
      <c r="G218" s="2">
        <f t="shared" si="19"/>
        <v>0</v>
      </c>
      <c r="H218" s="3" t="str">
        <f t="shared" si="20"/>
        <v>#DIV/0!</v>
      </c>
      <c r="I218" s="2" t="str">
        <f t="shared" si="21"/>
        <v>#DIV/0!</v>
      </c>
    </row>
    <row r="219">
      <c r="C219" s="9">
        <v>46203.0</v>
      </c>
      <c r="D219" s="1" t="s">
        <v>2</v>
      </c>
      <c r="E219" s="1">
        <v>0.0</v>
      </c>
      <c r="F219" s="1">
        <v>0.0</v>
      </c>
      <c r="G219" s="2">
        <f t="shared" si="19"/>
        <v>0</v>
      </c>
      <c r="H219" s="3" t="str">
        <f t="shared" si="20"/>
        <v>#DIV/0!</v>
      </c>
      <c r="I219" s="2" t="str">
        <f t="shared" si="21"/>
        <v>#DIV/0!</v>
      </c>
    </row>
    <row r="220">
      <c r="H220" s="3"/>
    </row>
    <row r="221">
      <c r="A221" s="1">
        <v>2026.0</v>
      </c>
      <c r="B221" s="1" t="s">
        <v>66</v>
      </c>
      <c r="C221" s="9">
        <f t="array" ref="C221:C251">SEQUENCE(31,1,DATE(2026,7,1),1)
</f>
        <v>46204</v>
      </c>
      <c r="D221" s="1" t="s">
        <v>3</v>
      </c>
      <c r="E221" s="1">
        <v>0.0</v>
      </c>
      <c r="F221" s="1">
        <v>0.0</v>
      </c>
      <c r="G221" s="2">
        <f t="shared" ref="G221:G251" si="22">(F221-E221)</f>
        <v>0</v>
      </c>
      <c r="H221" s="3" t="str">
        <f t="shared" ref="H221:H251" si="23">E221/F221</f>
        <v>#DIV/0!</v>
      </c>
      <c r="I221" s="2" t="str">
        <f t="shared" ref="I221:I251" si="24">ROUND((E221/F221)*10,1)</f>
        <v>#DIV/0!</v>
      </c>
      <c r="J221" s="7" t="s">
        <v>57</v>
      </c>
      <c r="K221" s="2" t="str">
        <f>MAX(H221:H251)</f>
        <v>#DIV/0!</v>
      </c>
    </row>
    <row r="222">
      <c r="C222" s="9">
        <v>46205.0</v>
      </c>
      <c r="D222" s="1" t="s">
        <v>4</v>
      </c>
      <c r="E222" s="1">
        <v>0.0</v>
      </c>
      <c r="F222" s="1">
        <v>0.0</v>
      </c>
      <c r="G222" s="2">
        <f t="shared" si="22"/>
        <v>0</v>
      </c>
      <c r="H222" s="3" t="str">
        <f t="shared" si="23"/>
        <v>#DIV/0!</v>
      </c>
      <c r="I222" s="2" t="str">
        <f t="shared" si="24"/>
        <v>#DIV/0!</v>
      </c>
    </row>
    <row r="223">
      <c r="C223" s="9">
        <v>46206.0</v>
      </c>
      <c r="D223" s="1" t="s">
        <v>5</v>
      </c>
      <c r="E223" s="1">
        <v>0.0</v>
      </c>
      <c r="F223" s="1">
        <v>0.0</v>
      </c>
      <c r="G223" s="2">
        <f t="shared" si="22"/>
        <v>0</v>
      </c>
      <c r="H223" s="3" t="str">
        <f t="shared" si="23"/>
        <v>#DIV/0!</v>
      </c>
      <c r="I223" s="2" t="str">
        <f t="shared" si="24"/>
        <v>#DIV/0!</v>
      </c>
      <c r="J223" s="7" t="s">
        <v>58</v>
      </c>
      <c r="K223" s="2" t="str">
        <f>MIN(H221:H251)</f>
        <v>#DIV/0!</v>
      </c>
    </row>
    <row r="224">
      <c r="C224" s="9">
        <v>46207.0</v>
      </c>
      <c r="D224" s="1" t="s">
        <v>6</v>
      </c>
      <c r="E224" s="1">
        <v>0.0</v>
      </c>
      <c r="F224" s="1">
        <v>0.0</v>
      </c>
      <c r="G224" s="2">
        <f t="shared" si="22"/>
        <v>0</v>
      </c>
      <c r="H224" s="3" t="str">
        <f t="shared" si="23"/>
        <v>#DIV/0!</v>
      </c>
      <c r="I224" s="2" t="str">
        <f t="shared" si="24"/>
        <v>#DIV/0!</v>
      </c>
    </row>
    <row r="225">
      <c r="C225" s="9">
        <v>46208.0</v>
      </c>
      <c r="D225" s="1" t="s">
        <v>7</v>
      </c>
      <c r="E225" s="1">
        <v>0.0</v>
      </c>
      <c r="F225" s="1">
        <v>0.0</v>
      </c>
      <c r="G225" s="2">
        <f t="shared" si="22"/>
        <v>0</v>
      </c>
      <c r="H225" s="3" t="str">
        <f t="shared" si="23"/>
        <v>#DIV/0!</v>
      </c>
      <c r="I225" s="2" t="str">
        <f t="shared" si="24"/>
        <v>#DIV/0!</v>
      </c>
      <c r="J225" s="7" t="s">
        <v>59</v>
      </c>
      <c r="K225" s="2" t="str">
        <f>AVERAGE(H221:H251)</f>
        <v>#DIV/0!</v>
      </c>
    </row>
    <row r="226">
      <c r="C226" s="9">
        <v>46209.0</v>
      </c>
      <c r="D226" s="1" t="s">
        <v>1</v>
      </c>
      <c r="E226" s="1">
        <v>0.0</v>
      </c>
      <c r="F226" s="1">
        <v>0.0</v>
      </c>
      <c r="G226" s="2">
        <f t="shared" si="22"/>
        <v>0</v>
      </c>
      <c r="H226" s="3" t="str">
        <f t="shared" si="23"/>
        <v>#DIV/0!</v>
      </c>
      <c r="I226" s="2" t="str">
        <f t="shared" si="24"/>
        <v>#DIV/0!</v>
      </c>
    </row>
    <row r="227">
      <c r="C227" s="9">
        <v>46210.0</v>
      </c>
      <c r="D227" s="1" t="s">
        <v>2</v>
      </c>
      <c r="E227" s="1">
        <v>0.0</v>
      </c>
      <c r="F227" s="1">
        <v>0.0</v>
      </c>
      <c r="G227" s="2">
        <f t="shared" si="22"/>
        <v>0</v>
      </c>
      <c r="H227" s="3" t="str">
        <f t="shared" si="23"/>
        <v>#DIV/0!</v>
      </c>
      <c r="I227" s="2" t="str">
        <f t="shared" si="24"/>
        <v>#DIV/0!</v>
      </c>
    </row>
    <row r="228">
      <c r="C228" s="9">
        <v>46211.0</v>
      </c>
      <c r="D228" s="1" t="s">
        <v>3</v>
      </c>
      <c r="E228" s="1">
        <v>0.0</v>
      </c>
      <c r="F228" s="1">
        <v>0.0</v>
      </c>
      <c r="G228" s="2">
        <f t="shared" si="22"/>
        <v>0</v>
      </c>
      <c r="H228" s="3" t="str">
        <f t="shared" si="23"/>
        <v>#DIV/0!</v>
      </c>
      <c r="I228" s="2" t="str">
        <f t="shared" si="24"/>
        <v>#DIV/0!</v>
      </c>
    </row>
    <row r="229">
      <c r="C229" s="9">
        <v>46212.0</v>
      </c>
      <c r="D229" s="1" t="s">
        <v>4</v>
      </c>
      <c r="E229" s="1">
        <v>0.0</v>
      </c>
      <c r="F229" s="1">
        <v>0.0</v>
      </c>
      <c r="G229" s="2">
        <f t="shared" si="22"/>
        <v>0</v>
      </c>
      <c r="H229" s="3" t="str">
        <f t="shared" si="23"/>
        <v>#DIV/0!</v>
      </c>
      <c r="I229" s="2" t="str">
        <f t="shared" si="24"/>
        <v>#DIV/0!</v>
      </c>
    </row>
    <row r="230">
      <c r="C230" s="9">
        <v>46213.0</v>
      </c>
      <c r="D230" s="1" t="s">
        <v>5</v>
      </c>
      <c r="E230" s="1">
        <v>0.0</v>
      </c>
      <c r="F230" s="1">
        <v>0.0</v>
      </c>
      <c r="G230" s="2">
        <f t="shared" si="22"/>
        <v>0</v>
      </c>
      <c r="H230" s="3" t="str">
        <f t="shared" si="23"/>
        <v>#DIV/0!</v>
      </c>
      <c r="I230" s="2" t="str">
        <f t="shared" si="24"/>
        <v>#DIV/0!</v>
      </c>
    </row>
    <row r="231">
      <c r="C231" s="9">
        <v>46214.0</v>
      </c>
      <c r="D231" s="1" t="s">
        <v>6</v>
      </c>
      <c r="E231" s="1">
        <v>0.0</v>
      </c>
      <c r="F231" s="1">
        <v>0.0</v>
      </c>
      <c r="G231" s="2">
        <f t="shared" si="22"/>
        <v>0</v>
      </c>
      <c r="H231" s="3" t="str">
        <f t="shared" si="23"/>
        <v>#DIV/0!</v>
      </c>
      <c r="I231" s="2" t="str">
        <f t="shared" si="24"/>
        <v>#DIV/0!</v>
      </c>
    </row>
    <row r="232">
      <c r="C232" s="9">
        <v>46215.0</v>
      </c>
      <c r="D232" s="1" t="s">
        <v>7</v>
      </c>
      <c r="E232" s="1">
        <v>0.0</v>
      </c>
      <c r="F232" s="1">
        <v>0.0</v>
      </c>
      <c r="G232" s="2">
        <f t="shared" si="22"/>
        <v>0</v>
      </c>
      <c r="H232" s="3" t="str">
        <f t="shared" si="23"/>
        <v>#DIV/0!</v>
      </c>
      <c r="I232" s="2" t="str">
        <f t="shared" si="24"/>
        <v>#DIV/0!</v>
      </c>
    </row>
    <row r="233">
      <c r="C233" s="9">
        <v>46216.0</v>
      </c>
      <c r="D233" s="1" t="s">
        <v>1</v>
      </c>
      <c r="E233" s="1">
        <v>0.0</v>
      </c>
      <c r="F233" s="1">
        <v>0.0</v>
      </c>
      <c r="G233" s="2">
        <f t="shared" si="22"/>
        <v>0</v>
      </c>
      <c r="H233" s="3" t="str">
        <f t="shared" si="23"/>
        <v>#DIV/0!</v>
      </c>
      <c r="I233" s="2" t="str">
        <f t="shared" si="24"/>
        <v>#DIV/0!</v>
      </c>
    </row>
    <row r="234">
      <c r="C234" s="9">
        <v>46217.0</v>
      </c>
      <c r="D234" s="1" t="s">
        <v>2</v>
      </c>
      <c r="E234" s="1">
        <v>0.0</v>
      </c>
      <c r="F234" s="1">
        <v>0.0</v>
      </c>
      <c r="G234" s="2">
        <f t="shared" si="22"/>
        <v>0</v>
      </c>
      <c r="H234" s="3" t="str">
        <f t="shared" si="23"/>
        <v>#DIV/0!</v>
      </c>
      <c r="I234" s="2" t="str">
        <f t="shared" si="24"/>
        <v>#DIV/0!</v>
      </c>
    </row>
    <row r="235">
      <c r="C235" s="9">
        <v>46218.0</v>
      </c>
      <c r="D235" s="1" t="s">
        <v>3</v>
      </c>
      <c r="E235" s="1">
        <v>0.0</v>
      </c>
      <c r="F235" s="1">
        <v>0.0</v>
      </c>
      <c r="G235" s="2">
        <f t="shared" si="22"/>
        <v>0</v>
      </c>
      <c r="H235" s="3" t="str">
        <f t="shared" si="23"/>
        <v>#DIV/0!</v>
      </c>
      <c r="I235" s="2" t="str">
        <f t="shared" si="24"/>
        <v>#DIV/0!</v>
      </c>
    </row>
    <row r="236">
      <c r="C236" s="9">
        <v>46219.0</v>
      </c>
      <c r="D236" s="1" t="s">
        <v>4</v>
      </c>
      <c r="E236" s="1">
        <v>0.0</v>
      </c>
      <c r="F236" s="1">
        <v>0.0</v>
      </c>
      <c r="G236" s="2">
        <f t="shared" si="22"/>
        <v>0</v>
      </c>
      <c r="H236" s="3" t="str">
        <f t="shared" si="23"/>
        <v>#DIV/0!</v>
      </c>
      <c r="I236" s="2" t="str">
        <f t="shared" si="24"/>
        <v>#DIV/0!</v>
      </c>
    </row>
    <row r="237">
      <c r="C237" s="9">
        <v>46220.0</v>
      </c>
      <c r="D237" s="1" t="s">
        <v>5</v>
      </c>
      <c r="E237" s="1">
        <v>0.0</v>
      </c>
      <c r="F237" s="1">
        <v>0.0</v>
      </c>
      <c r="G237" s="2">
        <f t="shared" si="22"/>
        <v>0</v>
      </c>
      <c r="H237" s="3" t="str">
        <f t="shared" si="23"/>
        <v>#DIV/0!</v>
      </c>
      <c r="I237" s="2" t="str">
        <f t="shared" si="24"/>
        <v>#DIV/0!</v>
      </c>
    </row>
    <row r="238">
      <c r="C238" s="9">
        <v>46221.0</v>
      </c>
      <c r="D238" s="1" t="s">
        <v>6</v>
      </c>
      <c r="E238" s="1">
        <v>0.0</v>
      </c>
      <c r="F238" s="1">
        <v>0.0</v>
      </c>
      <c r="G238" s="2">
        <f t="shared" si="22"/>
        <v>0</v>
      </c>
      <c r="H238" s="3" t="str">
        <f t="shared" si="23"/>
        <v>#DIV/0!</v>
      </c>
      <c r="I238" s="2" t="str">
        <f t="shared" si="24"/>
        <v>#DIV/0!</v>
      </c>
    </row>
    <row r="239">
      <c r="C239" s="9">
        <v>46222.0</v>
      </c>
      <c r="D239" s="1" t="s">
        <v>7</v>
      </c>
      <c r="E239" s="1">
        <v>0.0</v>
      </c>
      <c r="F239" s="1">
        <v>0.0</v>
      </c>
      <c r="G239" s="2">
        <f t="shared" si="22"/>
        <v>0</v>
      </c>
      <c r="H239" s="3" t="str">
        <f t="shared" si="23"/>
        <v>#DIV/0!</v>
      </c>
      <c r="I239" s="2" t="str">
        <f t="shared" si="24"/>
        <v>#DIV/0!</v>
      </c>
    </row>
    <row r="240">
      <c r="C240" s="9">
        <v>46223.0</v>
      </c>
      <c r="D240" s="1" t="s">
        <v>1</v>
      </c>
      <c r="E240" s="1">
        <v>0.0</v>
      </c>
      <c r="F240" s="1">
        <v>0.0</v>
      </c>
      <c r="G240" s="2">
        <f t="shared" si="22"/>
        <v>0</v>
      </c>
      <c r="H240" s="3" t="str">
        <f t="shared" si="23"/>
        <v>#DIV/0!</v>
      </c>
      <c r="I240" s="2" t="str">
        <f t="shared" si="24"/>
        <v>#DIV/0!</v>
      </c>
    </row>
    <row r="241">
      <c r="C241" s="9">
        <v>46224.0</v>
      </c>
      <c r="D241" s="1" t="s">
        <v>2</v>
      </c>
      <c r="E241" s="1">
        <v>0.0</v>
      </c>
      <c r="F241" s="1">
        <v>0.0</v>
      </c>
      <c r="G241" s="2">
        <f t="shared" si="22"/>
        <v>0</v>
      </c>
      <c r="H241" s="3" t="str">
        <f t="shared" si="23"/>
        <v>#DIV/0!</v>
      </c>
      <c r="I241" s="2" t="str">
        <f t="shared" si="24"/>
        <v>#DIV/0!</v>
      </c>
    </row>
    <row r="242">
      <c r="C242" s="9">
        <v>46225.0</v>
      </c>
      <c r="D242" s="1" t="s">
        <v>3</v>
      </c>
      <c r="E242" s="1">
        <v>0.0</v>
      </c>
      <c r="F242" s="1">
        <v>0.0</v>
      </c>
      <c r="G242" s="2">
        <f t="shared" si="22"/>
        <v>0</v>
      </c>
      <c r="H242" s="3" t="str">
        <f t="shared" si="23"/>
        <v>#DIV/0!</v>
      </c>
      <c r="I242" s="2" t="str">
        <f t="shared" si="24"/>
        <v>#DIV/0!</v>
      </c>
    </row>
    <row r="243">
      <c r="C243" s="9">
        <v>46226.0</v>
      </c>
      <c r="D243" s="1" t="s">
        <v>4</v>
      </c>
      <c r="E243" s="1">
        <v>0.0</v>
      </c>
      <c r="F243" s="1">
        <v>0.0</v>
      </c>
      <c r="G243" s="2">
        <f t="shared" si="22"/>
        <v>0</v>
      </c>
      <c r="H243" s="3" t="str">
        <f t="shared" si="23"/>
        <v>#DIV/0!</v>
      </c>
      <c r="I243" s="2" t="str">
        <f t="shared" si="24"/>
        <v>#DIV/0!</v>
      </c>
    </row>
    <row r="244">
      <c r="C244" s="9">
        <v>46227.0</v>
      </c>
      <c r="D244" s="1" t="s">
        <v>5</v>
      </c>
      <c r="E244" s="1">
        <v>0.0</v>
      </c>
      <c r="F244" s="1">
        <v>0.0</v>
      </c>
      <c r="G244" s="2">
        <f t="shared" si="22"/>
        <v>0</v>
      </c>
      <c r="H244" s="3" t="str">
        <f t="shared" si="23"/>
        <v>#DIV/0!</v>
      </c>
      <c r="I244" s="2" t="str">
        <f t="shared" si="24"/>
        <v>#DIV/0!</v>
      </c>
    </row>
    <row r="245">
      <c r="C245" s="9">
        <v>46228.0</v>
      </c>
      <c r="D245" s="1" t="s">
        <v>6</v>
      </c>
      <c r="E245" s="1">
        <v>0.0</v>
      </c>
      <c r="F245" s="1">
        <v>0.0</v>
      </c>
      <c r="G245" s="2">
        <f t="shared" si="22"/>
        <v>0</v>
      </c>
      <c r="H245" s="3" t="str">
        <f t="shared" si="23"/>
        <v>#DIV/0!</v>
      </c>
      <c r="I245" s="2" t="str">
        <f t="shared" si="24"/>
        <v>#DIV/0!</v>
      </c>
    </row>
    <row r="246">
      <c r="C246" s="9">
        <v>46229.0</v>
      </c>
      <c r="D246" s="1" t="s">
        <v>7</v>
      </c>
      <c r="E246" s="1">
        <v>0.0</v>
      </c>
      <c r="F246" s="1">
        <v>0.0</v>
      </c>
      <c r="G246" s="2">
        <f t="shared" si="22"/>
        <v>0</v>
      </c>
      <c r="H246" s="3" t="str">
        <f t="shared" si="23"/>
        <v>#DIV/0!</v>
      </c>
      <c r="I246" s="2" t="str">
        <f t="shared" si="24"/>
        <v>#DIV/0!</v>
      </c>
    </row>
    <row r="247">
      <c r="C247" s="9">
        <v>46230.0</v>
      </c>
      <c r="D247" s="1" t="s">
        <v>1</v>
      </c>
      <c r="E247" s="1">
        <v>0.0</v>
      </c>
      <c r="F247" s="1">
        <v>0.0</v>
      </c>
      <c r="G247" s="2">
        <f t="shared" si="22"/>
        <v>0</v>
      </c>
      <c r="H247" s="3" t="str">
        <f t="shared" si="23"/>
        <v>#DIV/0!</v>
      </c>
      <c r="I247" s="2" t="str">
        <f t="shared" si="24"/>
        <v>#DIV/0!</v>
      </c>
    </row>
    <row r="248">
      <c r="C248" s="9">
        <v>46231.0</v>
      </c>
      <c r="D248" s="1" t="s">
        <v>2</v>
      </c>
      <c r="E248" s="1">
        <v>0.0</v>
      </c>
      <c r="F248" s="1">
        <v>0.0</v>
      </c>
      <c r="G248" s="2">
        <f t="shared" si="22"/>
        <v>0</v>
      </c>
      <c r="H248" s="3" t="str">
        <f t="shared" si="23"/>
        <v>#DIV/0!</v>
      </c>
      <c r="I248" s="2" t="str">
        <f t="shared" si="24"/>
        <v>#DIV/0!</v>
      </c>
    </row>
    <row r="249">
      <c r="C249" s="9">
        <v>46232.0</v>
      </c>
      <c r="D249" s="1" t="s">
        <v>3</v>
      </c>
      <c r="E249" s="1">
        <v>0.0</v>
      </c>
      <c r="F249" s="1">
        <v>0.0</v>
      </c>
      <c r="G249" s="2">
        <f t="shared" si="22"/>
        <v>0</v>
      </c>
      <c r="H249" s="3" t="str">
        <f t="shared" si="23"/>
        <v>#DIV/0!</v>
      </c>
      <c r="I249" s="2" t="str">
        <f t="shared" si="24"/>
        <v>#DIV/0!</v>
      </c>
    </row>
    <row r="250">
      <c r="C250" s="9">
        <v>46233.0</v>
      </c>
      <c r="D250" s="1" t="s">
        <v>4</v>
      </c>
      <c r="E250" s="1">
        <v>0.0</v>
      </c>
      <c r="F250" s="1">
        <v>0.0</v>
      </c>
      <c r="G250" s="2">
        <f t="shared" si="22"/>
        <v>0</v>
      </c>
      <c r="H250" s="3" t="str">
        <f t="shared" si="23"/>
        <v>#DIV/0!</v>
      </c>
      <c r="I250" s="2" t="str">
        <f t="shared" si="24"/>
        <v>#DIV/0!</v>
      </c>
    </row>
    <row r="251">
      <c r="C251" s="9">
        <v>46234.0</v>
      </c>
      <c r="D251" s="1" t="s">
        <v>5</v>
      </c>
      <c r="E251" s="1">
        <v>0.0</v>
      </c>
      <c r="F251" s="1">
        <v>0.0</v>
      </c>
      <c r="G251" s="2">
        <f t="shared" si="22"/>
        <v>0</v>
      </c>
      <c r="H251" s="3" t="str">
        <f t="shared" si="23"/>
        <v>#DIV/0!</v>
      </c>
      <c r="I251" s="2" t="str">
        <f t="shared" si="24"/>
        <v>#DIV/0!</v>
      </c>
    </row>
    <row r="252">
      <c r="H252" s="3"/>
    </row>
    <row r="253">
      <c r="A253" s="1">
        <v>2026.0</v>
      </c>
      <c r="B253" s="1" t="s">
        <v>67</v>
      </c>
      <c r="C253" s="9">
        <f t="array" ref="C253:C283">SEQUENCE(31,1,DATE(2026,8,1),1)
</f>
        <v>46235</v>
      </c>
      <c r="D253" s="1" t="s">
        <v>6</v>
      </c>
      <c r="E253" s="1">
        <v>0.0</v>
      </c>
      <c r="F253" s="1">
        <v>0.0</v>
      </c>
      <c r="G253" s="2">
        <f t="shared" ref="G253:G283" si="25">(F253-E253)</f>
        <v>0</v>
      </c>
      <c r="H253" s="3" t="str">
        <f t="shared" ref="H253:H283" si="26">E253/F253</f>
        <v>#DIV/0!</v>
      </c>
      <c r="I253" s="2" t="str">
        <f t="shared" ref="I253:I283" si="27">ROUND((E253/F253)*10,1)</f>
        <v>#DIV/0!</v>
      </c>
      <c r="J253" s="7" t="s">
        <v>57</v>
      </c>
      <c r="K253" s="2" t="str">
        <f>MAX(H253:H283)</f>
        <v>#DIV/0!</v>
      </c>
    </row>
    <row r="254">
      <c r="C254" s="9">
        <v>46236.0</v>
      </c>
      <c r="D254" s="1" t="s">
        <v>7</v>
      </c>
      <c r="E254" s="1">
        <v>0.0</v>
      </c>
      <c r="F254" s="1">
        <v>0.0</v>
      </c>
      <c r="G254" s="2">
        <f t="shared" si="25"/>
        <v>0</v>
      </c>
      <c r="H254" s="3" t="str">
        <f t="shared" si="26"/>
        <v>#DIV/0!</v>
      </c>
      <c r="I254" s="2" t="str">
        <f t="shared" si="27"/>
        <v>#DIV/0!</v>
      </c>
    </row>
    <row r="255">
      <c r="C255" s="9">
        <v>46237.0</v>
      </c>
      <c r="D255" s="1" t="s">
        <v>1</v>
      </c>
      <c r="E255" s="1">
        <v>0.0</v>
      </c>
      <c r="F255" s="1">
        <v>0.0</v>
      </c>
      <c r="G255" s="2">
        <f t="shared" si="25"/>
        <v>0</v>
      </c>
      <c r="H255" s="3" t="str">
        <f t="shared" si="26"/>
        <v>#DIV/0!</v>
      </c>
      <c r="I255" s="2" t="str">
        <f t="shared" si="27"/>
        <v>#DIV/0!</v>
      </c>
      <c r="J255" s="7" t="s">
        <v>58</v>
      </c>
      <c r="K255" s="2" t="str">
        <f>MIN(H253:H283)</f>
        <v>#DIV/0!</v>
      </c>
    </row>
    <row r="256">
      <c r="C256" s="9">
        <v>46238.0</v>
      </c>
      <c r="D256" s="1" t="s">
        <v>2</v>
      </c>
      <c r="E256" s="1">
        <v>0.0</v>
      </c>
      <c r="F256" s="1">
        <v>0.0</v>
      </c>
      <c r="G256" s="2">
        <f t="shared" si="25"/>
        <v>0</v>
      </c>
      <c r="H256" s="3" t="str">
        <f t="shared" si="26"/>
        <v>#DIV/0!</v>
      </c>
      <c r="I256" s="2" t="str">
        <f t="shared" si="27"/>
        <v>#DIV/0!</v>
      </c>
    </row>
    <row r="257">
      <c r="C257" s="9">
        <v>46239.0</v>
      </c>
      <c r="D257" s="1" t="s">
        <v>3</v>
      </c>
      <c r="E257" s="1">
        <v>0.0</v>
      </c>
      <c r="F257" s="1">
        <v>0.0</v>
      </c>
      <c r="G257" s="2">
        <f t="shared" si="25"/>
        <v>0</v>
      </c>
      <c r="H257" s="3" t="str">
        <f t="shared" si="26"/>
        <v>#DIV/0!</v>
      </c>
      <c r="I257" s="2" t="str">
        <f t="shared" si="27"/>
        <v>#DIV/0!</v>
      </c>
      <c r="J257" s="7" t="s">
        <v>59</v>
      </c>
      <c r="K257" s="2" t="str">
        <f>AVERAGE(H253:H283)</f>
        <v>#DIV/0!</v>
      </c>
    </row>
    <row r="258">
      <c r="C258" s="9">
        <v>46240.0</v>
      </c>
      <c r="D258" s="1" t="s">
        <v>4</v>
      </c>
      <c r="E258" s="1">
        <v>0.0</v>
      </c>
      <c r="F258" s="1">
        <v>0.0</v>
      </c>
      <c r="G258" s="2">
        <f t="shared" si="25"/>
        <v>0</v>
      </c>
      <c r="H258" s="3" t="str">
        <f t="shared" si="26"/>
        <v>#DIV/0!</v>
      </c>
      <c r="I258" s="2" t="str">
        <f t="shared" si="27"/>
        <v>#DIV/0!</v>
      </c>
    </row>
    <row r="259">
      <c r="C259" s="9">
        <v>46241.0</v>
      </c>
      <c r="D259" s="1" t="s">
        <v>5</v>
      </c>
      <c r="E259" s="1">
        <v>0.0</v>
      </c>
      <c r="F259" s="1">
        <v>0.0</v>
      </c>
      <c r="G259" s="2">
        <f t="shared" si="25"/>
        <v>0</v>
      </c>
      <c r="H259" s="3" t="str">
        <f t="shared" si="26"/>
        <v>#DIV/0!</v>
      </c>
      <c r="I259" s="2" t="str">
        <f t="shared" si="27"/>
        <v>#DIV/0!</v>
      </c>
    </row>
    <row r="260">
      <c r="C260" s="9">
        <v>46242.0</v>
      </c>
      <c r="D260" s="1" t="s">
        <v>6</v>
      </c>
      <c r="E260" s="1">
        <v>0.0</v>
      </c>
      <c r="F260" s="1">
        <v>0.0</v>
      </c>
      <c r="G260" s="2">
        <f t="shared" si="25"/>
        <v>0</v>
      </c>
      <c r="H260" s="3" t="str">
        <f t="shared" si="26"/>
        <v>#DIV/0!</v>
      </c>
      <c r="I260" s="2" t="str">
        <f t="shared" si="27"/>
        <v>#DIV/0!</v>
      </c>
    </row>
    <row r="261">
      <c r="C261" s="9">
        <v>46243.0</v>
      </c>
      <c r="D261" s="1" t="s">
        <v>7</v>
      </c>
      <c r="E261" s="1">
        <v>0.0</v>
      </c>
      <c r="F261" s="1">
        <v>0.0</v>
      </c>
      <c r="G261" s="2">
        <f t="shared" si="25"/>
        <v>0</v>
      </c>
      <c r="H261" s="3" t="str">
        <f t="shared" si="26"/>
        <v>#DIV/0!</v>
      </c>
      <c r="I261" s="2" t="str">
        <f t="shared" si="27"/>
        <v>#DIV/0!</v>
      </c>
    </row>
    <row r="262">
      <c r="C262" s="9">
        <v>46244.0</v>
      </c>
      <c r="D262" s="1" t="s">
        <v>1</v>
      </c>
      <c r="E262" s="1">
        <v>0.0</v>
      </c>
      <c r="F262" s="1">
        <v>0.0</v>
      </c>
      <c r="G262" s="2">
        <f t="shared" si="25"/>
        <v>0</v>
      </c>
      <c r="H262" s="3" t="str">
        <f t="shared" si="26"/>
        <v>#DIV/0!</v>
      </c>
      <c r="I262" s="2" t="str">
        <f t="shared" si="27"/>
        <v>#DIV/0!</v>
      </c>
    </row>
    <row r="263">
      <c r="C263" s="9">
        <v>46245.0</v>
      </c>
      <c r="D263" s="1" t="s">
        <v>2</v>
      </c>
      <c r="E263" s="1">
        <v>0.0</v>
      </c>
      <c r="F263" s="1">
        <v>0.0</v>
      </c>
      <c r="G263" s="2">
        <f t="shared" si="25"/>
        <v>0</v>
      </c>
      <c r="H263" s="3" t="str">
        <f t="shared" si="26"/>
        <v>#DIV/0!</v>
      </c>
      <c r="I263" s="2" t="str">
        <f t="shared" si="27"/>
        <v>#DIV/0!</v>
      </c>
    </row>
    <row r="264">
      <c r="C264" s="9">
        <v>46246.0</v>
      </c>
      <c r="D264" s="1" t="s">
        <v>3</v>
      </c>
      <c r="E264" s="1">
        <v>0.0</v>
      </c>
      <c r="F264" s="1">
        <v>0.0</v>
      </c>
      <c r="G264" s="2">
        <f t="shared" si="25"/>
        <v>0</v>
      </c>
      <c r="H264" s="3" t="str">
        <f t="shared" si="26"/>
        <v>#DIV/0!</v>
      </c>
      <c r="I264" s="2" t="str">
        <f t="shared" si="27"/>
        <v>#DIV/0!</v>
      </c>
    </row>
    <row r="265">
      <c r="C265" s="9">
        <v>46247.0</v>
      </c>
      <c r="D265" s="1" t="s">
        <v>4</v>
      </c>
      <c r="E265" s="1">
        <v>0.0</v>
      </c>
      <c r="F265" s="1">
        <v>0.0</v>
      </c>
      <c r="G265" s="2">
        <f t="shared" si="25"/>
        <v>0</v>
      </c>
      <c r="H265" s="3" t="str">
        <f t="shared" si="26"/>
        <v>#DIV/0!</v>
      </c>
      <c r="I265" s="2" t="str">
        <f t="shared" si="27"/>
        <v>#DIV/0!</v>
      </c>
    </row>
    <row r="266">
      <c r="C266" s="9">
        <v>46248.0</v>
      </c>
      <c r="D266" s="1" t="s">
        <v>5</v>
      </c>
      <c r="E266" s="1">
        <v>0.0</v>
      </c>
      <c r="F266" s="1">
        <v>0.0</v>
      </c>
      <c r="G266" s="2">
        <f t="shared" si="25"/>
        <v>0</v>
      </c>
      <c r="H266" s="3" t="str">
        <f t="shared" si="26"/>
        <v>#DIV/0!</v>
      </c>
      <c r="I266" s="2" t="str">
        <f t="shared" si="27"/>
        <v>#DIV/0!</v>
      </c>
    </row>
    <row r="267">
      <c r="C267" s="9">
        <v>46249.0</v>
      </c>
      <c r="D267" s="1" t="s">
        <v>6</v>
      </c>
      <c r="E267" s="1">
        <v>0.0</v>
      </c>
      <c r="F267" s="1">
        <v>0.0</v>
      </c>
      <c r="G267" s="2">
        <f t="shared" si="25"/>
        <v>0</v>
      </c>
      <c r="H267" s="3" t="str">
        <f t="shared" si="26"/>
        <v>#DIV/0!</v>
      </c>
      <c r="I267" s="2" t="str">
        <f t="shared" si="27"/>
        <v>#DIV/0!</v>
      </c>
    </row>
    <row r="268">
      <c r="C268" s="9">
        <v>46250.0</v>
      </c>
      <c r="D268" s="1" t="s">
        <v>7</v>
      </c>
      <c r="E268" s="1">
        <v>0.0</v>
      </c>
      <c r="F268" s="1">
        <v>0.0</v>
      </c>
      <c r="G268" s="2">
        <f t="shared" si="25"/>
        <v>0</v>
      </c>
      <c r="H268" s="3" t="str">
        <f t="shared" si="26"/>
        <v>#DIV/0!</v>
      </c>
      <c r="I268" s="2" t="str">
        <f t="shared" si="27"/>
        <v>#DIV/0!</v>
      </c>
    </row>
    <row r="269">
      <c r="C269" s="9">
        <v>46251.0</v>
      </c>
      <c r="D269" s="1" t="s">
        <v>1</v>
      </c>
      <c r="E269" s="1">
        <v>0.0</v>
      </c>
      <c r="F269" s="1">
        <v>0.0</v>
      </c>
      <c r="G269" s="2">
        <f t="shared" si="25"/>
        <v>0</v>
      </c>
      <c r="H269" s="3" t="str">
        <f t="shared" si="26"/>
        <v>#DIV/0!</v>
      </c>
      <c r="I269" s="2" t="str">
        <f t="shared" si="27"/>
        <v>#DIV/0!</v>
      </c>
    </row>
    <row r="270">
      <c r="C270" s="9">
        <v>46252.0</v>
      </c>
      <c r="D270" s="1" t="s">
        <v>2</v>
      </c>
      <c r="E270" s="1">
        <v>0.0</v>
      </c>
      <c r="F270" s="1">
        <v>0.0</v>
      </c>
      <c r="G270" s="2">
        <f t="shared" si="25"/>
        <v>0</v>
      </c>
      <c r="H270" s="3" t="str">
        <f t="shared" si="26"/>
        <v>#DIV/0!</v>
      </c>
      <c r="I270" s="2" t="str">
        <f t="shared" si="27"/>
        <v>#DIV/0!</v>
      </c>
    </row>
    <row r="271">
      <c r="C271" s="9">
        <v>46253.0</v>
      </c>
      <c r="D271" s="1" t="s">
        <v>3</v>
      </c>
      <c r="E271" s="1">
        <v>0.0</v>
      </c>
      <c r="F271" s="1">
        <v>0.0</v>
      </c>
      <c r="G271" s="2">
        <f t="shared" si="25"/>
        <v>0</v>
      </c>
      <c r="H271" s="3" t="str">
        <f t="shared" si="26"/>
        <v>#DIV/0!</v>
      </c>
      <c r="I271" s="2" t="str">
        <f t="shared" si="27"/>
        <v>#DIV/0!</v>
      </c>
    </row>
    <row r="272">
      <c r="C272" s="9">
        <v>46254.0</v>
      </c>
      <c r="D272" s="1" t="s">
        <v>4</v>
      </c>
      <c r="E272" s="1">
        <v>0.0</v>
      </c>
      <c r="F272" s="1">
        <v>0.0</v>
      </c>
      <c r="G272" s="2">
        <f t="shared" si="25"/>
        <v>0</v>
      </c>
      <c r="H272" s="3" t="str">
        <f t="shared" si="26"/>
        <v>#DIV/0!</v>
      </c>
      <c r="I272" s="2" t="str">
        <f t="shared" si="27"/>
        <v>#DIV/0!</v>
      </c>
    </row>
    <row r="273">
      <c r="C273" s="9">
        <v>46255.0</v>
      </c>
      <c r="D273" s="1" t="s">
        <v>5</v>
      </c>
      <c r="E273" s="1">
        <v>0.0</v>
      </c>
      <c r="F273" s="1">
        <v>0.0</v>
      </c>
      <c r="G273" s="2">
        <f t="shared" si="25"/>
        <v>0</v>
      </c>
      <c r="H273" s="3" t="str">
        <f t="shared" si="26"/>
        <v>#DIV/0!</v>
      </c>
      <c r="I273" s="2" t="str">
        <f t="shared" si="27"/>
        <v>#DIV/0!</v>
      </c>
    </row>
    <row r="274">
      <c r="C274" s="9">
        <v>46256.0</v>
      </c>
      <c r="D274" s="1" t="s">
        <v>6</v>
      </c>
      <c r="E274" s="1">
        <v>0.0</v>
      </c>
      <c r="F274" s="1">
        <v>0.0</v>
      </c>
      <c r="G274" s="2">
        <f t="shared" si="25"/>
        <v>0</v>
      </c>
      <c r="H274" s="3" t="str">
        <f t="shared" si="26"/>
        <v>#DIV/0!</v>
      </c>
      <c r="I274" s="2" t="str">
        <f t="shared" si="27"/>
        <v>#DIV/0!</v>
      </c>
    </row>
    <row r="275">
      <c r="C275" s="9">
        <v>46257.0</v>
      </c>
      <c r="D275" s="1" t="s">
        <v>7</v>
      </c>
      <c r="E275" s="1">
        <v>0.0</v>
      </c>
      <c r="F275" s="1">
        <v>0.0</v>
      </c>
      <c r="G275" s="2">
        <f t="shared" si="25"/>
        <v>0</v>
      </c>
      <c r="H275" s="3" t="str">
        <f t="shared" si="26"/>
        <v>#DIV/0!</v>
      </c>
      <c r="I275" s="2" t="str">
        <f t="shared" si="27"/>
        <v>#DIV/0!</v>
      </c>
    </row>
    <row r="276">
      <c r="C276" s="9">
        <v>46258.0</v>
      </c>
      <c r="D276" s="1" t="s">
        <v>1</v>
      </c>
      <c r="E276" s="1">
        <v>0.0</v>
      </c>
      <c r="F276" s="1">
        <v>0.0</v>
      </c>
      <c r="G276" s="2">
        <f t="shared" si="25"/>
        <v>0</v>
      </c>
      <c r="H276" s="3" t="str">
        <f t="shared" si="26"/>
        <v>#DIV/0!</v>
      </c>
      <c r="I276" s="2" t="str">
        <f t="shared" si="27"/>
        <v>#DIV/0!</v>
      </c>
    </row>
    <row r="277">
      <c r="C277" s="9">
        <v>46259.0</v>
      </c>
      <c r="D277" s="1" t="s">
        <v>2</v>
      </c>
      <c r="E277" s="1">
        <v>0.0</v>
      </c>
      <c r="F277" s="1">
        <v>0.0</v>
      </c>
      <c r="G277" s="2">
        <f t="shared" si="25"/>
        <v>0</v>
      </c>
      <c r="H277" s="3" t="str">
        <f t="shared" si="26"/>
        <v>#DIV/0!</v>
      </c>
      <c r="I277" s="2" t="str">
        <f t="shared" si="27"/>
        <v>#DIV/0!</v>
      </c>
    </row>
    <row r="278">
      <c r="C278" s="9">
        <v>46260.0</v>
      </c>
      <c r="D278" s="1" t="s">
        <v>3</v>
      </c>
      <c r="E278" s="1">
        <v>0.0</v>
      </c>
      <c r="F278" s="1">
        <v>0.0</v>
      </c>
      <c r="G278" s="2">
        <f t="shared" si="25"/>
        <v>0</v>
      </c>
      <c r="H278" s="3" t="str">
        <f t="shared" si="26"/>
        <v>#DIV/0!</v>
      </c>
      <c r="I278" s="2" t="str">
        <f t="shared" si="27"/>
        <v>#DIV/0!</v>
      </c>
    </row>
    <row r="279">
      <c r="C279" s="9">
        <v>46261.0</v>
      </c>
      <c r="D279" s="1" t="s">
        <v>4</v>
      </c>
      <c r="E279" s="1">
        <v>0.0</v>
      </c>
      <c r="F279" s="1">
        <v>0.0</v>
      </c>
      <c r="G279" s="2">
        <f t="shared" si="25"/>
        <v>0</v>
      </c>
      <c r="H279" s="3" t="str">
        <f t="shared" si="26"/>
        <v>#DIV/0!</v>
      </c>
      <c r="I279" s="2" t="str">
        <f t="shared" si="27"/>
        <v>#DIV/0!</v>
      </c>
    </row>
    <row r="280">
      <c r="C280" s="9">
        <v>46262.0</v>
      </c>
      <c r="D280" s="1" t="s">
        <v>5</v>
      </c>
      <c r="E280" s="1">
        <v>0.0</v>
      </c>
      <c r="F280" s="1">
        <v>0.0</v>
      </c>
      <c r="G280" s="2">
        <f t="shared" si="25"/>
        <v>0</v>
      </c>
      <c r="H280" s="3" t="str">
        <f t="shared" si="26"/>
        <v>#DIV/0!</v>
      </c>
      <c r="I280" s="2" t="str">
        <f t="shared" si="27"/>
        <v>#DIV/0!</v>
      </c>
    </row>
    <row r="281">
      <c r="C281" s="9">
        <v>46263.0</v>
      </c>
      <c r="D281" s="1" t="s">
        <v>6</v>
      </c>
      <c r="E281" s="1">
        <v>0.0</v>
      </c>
      <c r="F281" s="1">
        <v>0.0</v>
      </c>
      <c r="G281" s="2">
        <f t="shared" si="25"/>
        <v>0</v>
      </c>
      <c r="H281" s="3" t="str">
        <f t="shared" si="26"/>
        <v>#DIV/0!</v>
      </c>
      <c r="I281" s="2" t="str">
        <f t="shared" si="27"/>
        <v>#DIV/0!</v>
      </c>
    </row>
    <row r="282">
      <c r="C282" s="9">
        <v>46264.0</v>
      </c>
      <c r="D282" s="1" t="s">
        <v>7</v>
      </c>
      <c r="E282" s="1">
        <v>0.0</v>
      </c>
      <c r="F282" s="1">
        <v>0.0</v>
      </c>
      <c r="G282" s="2">
        <f t="shared" si="25"/>
        <v>0</v>
      </c>
      <c r="H282" s="3" t="str">
        <f t="shared" si="26"/>
        <v>#DIV/0!</v>
      </c>
      <c r="I282" s="2" t="str">
        <f t="shared" si="27"/>
        <v>#DIV/0!</v>
      </c>
    </row>
    <row r="283">
      <c r="C283" s="9">
        <v>46265.0</v>
      </c>
      <c r="D283" s="1" t="s">
        <v>1</v>
      </c>
      <c r="E283" s="1">
        <v>0.0</v>
      </c>
      <c r="F283" s="1">
        <v>0.0</v>
      </c>
      <c r="G283" s="2">
        <f t="shared" si="25"/>
        <v>0</v>
      </c>
      <c r="H283" s="3" t="str">
        <f t="shared" si="26"/>
        <v>#DIV/0!</v>
      </c>
      <c r="I283" s="2" t="str">
        <f t="shared" si="27"/>
        <v>#DIV/0!</v>
      </c>
    </row>
    <row r="284">
      <c r="H284" s="3"/>
    </row>
    <row r="285">
      <c r="A285" s="1">
        <v>2026.0</v>
      </c>
      <c r="B285" s="1" t="s">
        <v>68</v>
      </c>
      <c r="C285" s="9">
        <f t="array" ref="C285:C314">SEQUENCE(30,1,DATE(2026,9,1),1)
</f>
        <v>46266</v>
      </c>
      <c r="D285" s="1" t="s">
        <v>2</v>
      </c>
      <c r="E285" s="1">
        <v>0.0</v>
      </c>
      <c r="F285" s="1">
        <v>0.0</v>
      </c>
      <c r="G285" s="2">
        <f t="shared" ref="G285:G314" si="28">(F285-E285)</f>
        <v>0</v>
      </c>
      <c r="H285" s="3" t="str">
        <f t="shared" ref="H285:H314" si="29">E285/F285</f>
        <v>#DIV/0!</v>
      </c>
      <c r="I285" s="2" t="str">
        <f t="shared" ref="I285:I314" si="30">ROUND((E285/F285)*10,1)</f>
        <v>#DIV/0!</v>
      </c>
      <c r="J285" s="7" t="s">
        <v>57</v>
      </c>
      <c r="K285" s="2" t="str">
        <f>MAX(H285:H314)</f>
        <v>#DIV/0!</v>
      </c>
    </row>
    <row r="286">
      <c r="C286" s="9">
        <v>46267.0</v>
      </c>
      <c r="D286" s="1" t="s">
        <v>3</v>
      </c>
      <c r="E286" s="1">
        <v>0.0</v>
      </c>
      <c r="F286" s="1">
        <v>0.0</v>
      </c>
      <c r="G286" s="2">
        <f t="shared" si="28"/>
        <v>0</v>
      </c>
      <c r="H286" s="3" t="str">
        <f t="shared" si="29"/>
        <v>#DIV/0!</v>
      </c>
      <c r="I286" s="2" t="str">
        <f t="shared" si="30"/>
        <v>#DIV/0!</v>
      </c>
    </row>
    <row r="287">
      <c r="C287" s="9">
        <v>46268.0</v>
      </c>
      <c r="D287" s="1" t="s">
        <v>4</v>
      </c>
      <c r="E287" s="1">
        <v>0.0</v>
      </c>
      <c r="F287" s="1">
        <v>0.0</v>
      </c>
      <c r="G287" s="2">
        <f t="shared" si="28"/>
        <v>0</v>
      </c>
      <c r="H287" s="3" t="str">
        <f t="shared" si="29"/>
        <v>#DIV/0!</v>
      </c>
      <c r="I287" s="2" t="str">
        <f t="shared" si="30"/>
        <v>#DIV/0!</v>
      </c>
      <c r="J287" s="7" t="s">
        <v>58</v>
      </c>
      <c r="K287" s="2" t="str">
        <f>MIN(H285:H314)</f>
        <v>#DIV/0!</v>
      </c>
    </row>
    <row r="288">
      <c r="C288" s="9">
        <v>46269.0</v>
      </c>
      <c r="D288" s="1" t="s">
        <v>5</v>
      </c>
      <c r="E288" s="1">
        <v>0.0</v>
      </c>
      <c r="F288" s="1">
        <v>0.0</v>
      </c>
      <c r="G288" s="2">
        <f t="shared" si="28"/>
        <v>0</v>
      </c>
      <c r="H288" s="3" t="str">
        <f t="shared" si="29"/>
        <v>#DIV/0!</v>
      </c>
      <c r="I288" s="2" t="str">
        <f t="shared" si="30"/>
        <v>#DIV/0!</v>
      </c>
    </row>
    <row r="289">
      <c r="C289" s="9">
        <v>46270.0</v>
      </c>
      <c r="D289" s="1" t="s">
        <v>6</v>
      </c>
      <c r="E289" s="1">
        <v>0.0</v>
      </c>
      <c r="F289" s="1">
        <v>0.0</v>
      </c>
      <c r="G289" s="2">
        <f t="shared" si="28"/>
        <v>0</v>
      </c>
      <c r="H289" s="3" t="str">
        <f t="shared" si="29"/>
        <v>#DIV/0!</v>
      </c>
      <c r="I289" s="2" t="str">
        <f t="shared" si="30"/>
        <v>#DIV/0!</v>
      </c>
      <c r="J289" s="7" t="s">
        <v>59</v>
      </c>
      <c r="K289" s="2" t="str">
        <f>AVERAGE(H285:H314)</f>
        <v>#DIV/0!</v>
      </c>
    </row>
    <row r="290">
      <c r="C290" s="9">
        <v>46271.0</v>
      </c>
      <c r="D290" s="1" t="s">
        <v>7</v>
      </c>
      <c r="E290" s="1">
        <v>0.0</v>
      </c>
      <c r="F290" s="1">
        <v>0.0</v>
      </c>
      <c r="G290" s="2">
        <f t="shared" si="28"/>
        <v>0</v>
      </c>
      <c r="H290" s="3" t="str">
        <f t="shared" si="29"/>
        <v>#DIV/0!</v>
      </c>
      <c r="I290" s="2" t="str">
        <f t="shared" si="30"/>
        <v>#DIV/0!</v>
      </c>
    </row>
    <row r="291">
      <c r="C291" s="9">
        <v>46272.0</v>
      </c>
      <c r="D291" s="1" t="s">
        <v>1</v>
      </c>
      <c r="E291" s="1">
        <v>0.0</v>
      </c>
      <c r="F291" s="1">
        <v>0.0</v>
      </c>
      <c r="G291" s="2">
        <f t="shared" si="28"/>
        <v>0</v>
      </c>
      <c r="H291" s="3" t="str">
        <f t="shared" si="29"/>
        <v>#DIV/0!</v>
      </c>
      <c r="I291" s="2" t="str">
        <f t="shared" si="30"/>
        <v>#DIV/0!</v>
      </c>
    </row>
    <row r="292">
      <c r="C292" s="9">
        <v>46273.0</v>
      </c>
      <c r="D292" s="1" t="s">
        <v>2</v>
      </c>
      <c r="E292" s="1">
        <v>0.0</v>
      </c>
      <c r="F292" s="1">
        <v>0.0</v>
      </c>
      <c r="G292" s="2">
        <f t="shared" si="28"/>
        <v>0</v>
      </c>
      <c r="H292" s="3" t="str">
        <f t="shared" si="29"/>
        <v>#DIV/0!</v>
      </c>
      <c r="I292" s="2" t="str">
        <f t="shared" si="30"/>
        <v>#DIV/0!</v>
      </c>
    </row>
    <row r="293">
      <c r="C293" s="9">
        <v>46274.0</v>
      </c>
      <c r="D293" s="1" t="s">
        <v>3</v>
      </c>
      <c r="E293" s="1">
        <v>0.0</v>
      </c>
      <c r="F293" s="1">
        <v>0.0</v>
      </c>
      <c r="G293" s="2">
        <f t="shared" si="28"/>
        <v>0</v>
      </c>
      <c r="H293" s="3" t="str">
        <f t="shared" si="29"/>
        <v>#DIV/0!</v>
      </c>
      <c r="I293" s="2" t="str">
        <f t="shared" si="30"/>
        <v>#DIV/0!</v>
      </c>
    </row>
    <row r="294">
      <c r="C294" s="9">
        <v>46275.0</v>
      </c>
      <c r="D294" s="1" t="s">
        <v>4</v>
      </c>
      <c r="E294" s="1">
        <v>0.0</v>
      </c>
      <c r="F294" s="1">
        <v>0.0</v>
      </c>
      <c r="G294" s="2">
        <f t="shared" si="28"/>
        <v>0</v>
      </c>
      <c r="H294" s="3" t="str">
        <f t="shared" si="29"/>
        <v>#DIV/0!</v>
      </c>
      <c r="I294" s="2" t="str">
        <f t="shared" si="30"/>
        <v>#DIV/0!</v>
      </c>
    </row>
    <row r="295">
      <c r="C295" s="9">
        <v>46276.0</v>
      </c>
      <c r="D295" s="1" t="s">
        <v>5</v>
      </c>
      <c r="E295" s="1">
        <v>0.0</v>
      </c>
      <c r="F295" s="1">
        <v>0.0</v>
      </c>
      <c r="G295" s="2">
        <f t="shared" si="28"/>
        <v>0</v>
      </c>
      <c r="H295" s="3" t="str">
        <f t="shared" si="29"/>
        <v>#DIV/0!</v>
      </c>
      <c r="I295" s="2" t="str">
        <f t="shared" si="30"/>
        <v>#DIV/0!</v>
      </c>
    </row>
    <row r="296">
      <c r="C296" s="9">
        <v>46277.0</v>
      </c>
      <c r="D296" s="1" t="s">
        <v>6</v>
      </c>
      <c r="E296" s="1">
        <v>0.0</v>
      </c>
      <c r="F296" s="1">
        <v>0.0</v>
      </c>
      <c r="G296" s="2">
        <f t="shared" si="28"/>
        <v>0</v>
      </c>
      <c r="H296" s="3" t="str">
        <f t="shared" si="29"/>
        <v>#DIV/0!</v>
      </c>
      <c r="I296" s="2" t="str">
        <f t="shared" si="30"/>
        <v>#DIV/0!</v>
      </c>
    </row>
    <row r="297">
      <c r="C297" s="9">
        <v>46278.0</v>
      </c>
      <c r="D297" s="1" t="s">
        <v>7</v>
      </c>
      <c r="E297" s="1">
        <v>0.0</v>
      </c>
      <c r="F297" s="1">
        <v>0.0</v>
      </c>
      <c r="G297" s="2">
        <f t="shared" si="28"/>
        <v>0</v>
      </c>
      <c r="H297" s="3" t="str">
        <f t="shared" si="29"/>
        <v>#DIV/0!</v>
      </c>
      <c r="I297" s="2" t="str">
        <f t="shared" si="30"/>
        <v>#DIV/0!</v>
      </c>
    </row>
    <row r="298">
      <c r="C298" s="9">
        <v>46279.0</v>
      </c>
      <c r="D298" s="1" t="s">
        <v>1</v>
      </c>
      <c r="E298" s="1">
        <v>0.0</v>
      </c>
      <c r="F298" s="1">
        <v>0.0</v>
      </c>
      <c r="G298" s="2">
        <f t="shared" si="28"/>
        <v>0</v>
      </c>
      <c r="H298" s="3" t="str">
        <f t="shared" si="29"/>
        <v>#DIV/0!</v>
      </c>
      <c r="I298" s="2" t="str">
        <f t="shared" si="30"/>
        <v>#DIV/0!</v>
      </c>
    </row>
    <row r="299">
      <c r="C299" s="9">
        <v>46280.0</v>
      </c>
      <c r="D299" s="1" t="s">
        <v>2</v>
      </c>
      <c r="E299" s="1">
        <v>0.0</v>
      </c>
      <c r="F299" s="1">
        <v>0.0</v>
      </c>
      <c r="G299" s="2">
        <f t="shared" si="28"/>
        <v>0</v>
      </c>
      <c r="H299" s="3" t="str">
        <f t="shared" si="29"/>
        <v>#DIV/0!</v>
      </c>
      <c r="I299" s="2" t="str">
        <f t="shared" si="30"/>
        <v>#DIV/0!</v>
      </c>
    </row>
    <row r="300">
      <c r="C300" s="9">
        <v>46281.0</v>
      </c>
      <c r="D300" s="1" t="s">
        <v>3</v>
      </c>
      <c r="E300" s="1">
        <v>0.0</v>
      </c>
      <c r="F300" s="1">
        <v>0.0</v>
      </c>
      <c r="G300" s="2">
        <f t="shared" si="28"/>
        <v>0</v>
      </c>
      <c r="H300" s="3" t="str">
        <f t="shared" si="29"/>
        <v>#DIV/0!</v>
      </c>
      <c r="I300" s="2" t="str">
        <f t="shared" si="30"/>
        <v>#DIV/0!</v>
      </c>
    </row>
    <row r="301">
      <c r="C301" s="9">
        <v>46282.0</v>
      </c>
      <c r="D301" s="1" t="s">
        <v>4</v>
      </c>
      <c r="E301" s="1">
        <v>0.0</v>
      </c>
      <c r="F301" s="1">
        <v>0.0</v>
      </c>
      <c r="G301" s="2">
        <f t="shared" si="28"/>
        <v>0</v>
      </c>
      <c r="H301" s="3" t="str">
        <f t="shared" si="29"/>
        <v>#DIV/0!</v>
      </c>
      <c r="I301" s="2" t="str">
        <f t="shared" si="30"/>
        <v>#DIV/0!</v>
      </c>
    </row>
    <row r="302">
      <c r="C302" s="9">
        <v>46283.0</v>
      </c>
      <c r="D302" s="1" t="s">
        <v>5</v>
      </c>
      <c r="E302" s="1">
        <v>0.0</v>
      </c>
      <c r="F302" s="1">
        <v>0.0</v>
      </c>
      <c r="G302" s="2">
        <f t="shared" si="28"/>
        <v>0</v>
      </c>
      <c r="H302" s="3" t="str">
        <f t="shared" si="29"/>
        <v>#DIV/0!</v>
      </c>
      <c r="I302" s="2" t="str">
        <f t="shared" si="30"/>
        <v>#DIV/0!</v>
      </c>
    </row>
    <row r="303">
      <c r="C303" s="9">
        <v>46284.0</v>
      </c>
      <c r="D303" s="1" t="s">
        <v>6</v>
      </c>
      <c r="E303" s="1">
        <v>0.0</v>
      </c>
      <c r="F303" s="1">
        <v>0.0</v>
      </c>
      <c r="G303" s="2">
        <f t="shared" si="28"/>
        <v>0</v>
      </c>
      <c r="H303" s="3" t="str">
        <f t="shared" si="29"/>
        <v>#DIV/0!</v>
      </c>
      <c r="I303" s="2" t="str">
        <f t="shared" si="30"/>
        <v>#DIV/0!</v>
      </c>
    </row>
    <row r="304">
      <c r="C304" s="9">
        <v>46285.0</v>
      </c>
      <c r="D304" s="1" t="s">
        <v>7</v>
      </c>
      <c r="E304" s="1">
        <v>0.0</v>
      </c>
      <c r="F304" s="1">
        <v>0.0</v>
      </c>
      <c r="G304" s="2">
        <f t="shared" si="28"/>
        <v>0</v>
      </c>
      <c r="H304" s="3" t="str">
        <f t="shared" si="29"/>
        <v>#DIV/0!</v>
      </c>
      <c r="I304" s="2" t="str">
        <f t="shared" si="30"/>
        <v>#DIV/0!</v>
      </c>
    </row>
    <row r="305">
      <c r="C305" s="9">
        <v>46286.0</v>
      </c>
      <c r="D305" s="1" t="s">
        <v>1</v>
      </c>
      <c r="E305" s="1">
        <v>0.0</v>
      </c>
      <c r="F305" s="1">
        <v>0.0</v>
      </c>
      <c r="G305" s="2">
        <f t="shared" si="28"/>
        <v>0</v>
      </c>
      <c r="H305" s="3" t="str">
        <f t="shared" si="29"/>
        <v>#DIV/0!</v>
      </c>
      <c r="I305" s="2" t="str">
        <f t="shared" si="30"/>
        <v>#DIV/0!</v>
      </c>
    </row>
    <row r="306">
      <c r="C306" s="9">
        <v>46287.0</v>
      </c>
      <c r="D306" s="1" t="s">
        <v>2</v>
      </c>
      <c r="E306" s="1">
        <v>0.0</v>
      </c>
      <c r="F306" s="1">
        <v>0.0</v>
      </c>
      <c r="G306" s="2">
        <f t="shared" si="28"/>
        <v>0</v>
      </c>
      <c r="H306" s="3" t="str">
        <f t="shared" si="29"/>
        <v>#DIV/0!</v>
      </c>
      <c r="I306" s="2" t="str">
        <f t="shared" si="30"/>
        <v>#DIV/0!</v>
      </c>
    </row>
    <row r="307">
      <c r="C307" s="9">
        <v>46288.0</v>
      </c>
      <c r="D307" s="1" t="s">
        <v>3</v>
      </c>
      <c r="E307" s="1">
        <v>0.0</v>
      </c>
      <c r="F307" s="1">
        <v>0.0</v>
      </c>
      <c r="G307" s="2">
        <f t="shared" si="28"/>
        <v>0</v>
      </c>
      <c r="H307" s="3" t="str">
        <f t="shared" si="29"/>
        <v>#DIV/0!</v>
      </c>
      <c r="I307" s="2" t="str">
        <f t="shared" si="30"/>
        <v>#DIV/0!</v>
      </c>
    </row>
    <row r="308">
      <c r="C308" s="9">
        <v>46289.0</v>
      </c>
      <c r="D308" s="1" t="s">
        <v>4</v>
      </c>
      <c r="E308" s="1">
        <v>0.0</v>
      </c>
      <c r="F308" s="1">
        <v>0.0</v>
      </c>
      <c r="G308" s="2">
        <f t="shared" si="28"/>
        <v>0</v>
      </c>
      <c r="H308" s="3" t="str">
        <f t="shared" si="29"/>
        <v>#DIV/0!</v>
      </c>
      <c r="I308" s="2" t="str">
        <f t="shared" si="30"/>
        <v>#DIV/0!</v>
      </c>
    </row>
    <row r="309">
      <c r="C309" s="9">
        <v>46290.0</v>
      </c>
      <c r="D309" s="1" t="s">
        <v>5</v>
      </c>
      <c r="E309" s="1">
        <v>0.0</v>
      </c>
      <c r="F309" s="1">
        <v>0.0</v>
      </c>
      <c r="G309" s="2">
        <f t="shared" si="28"/>
        <v>0</v>
      </c>
      <c r="H309" s="3" t="str">
        <f t="shared" si="29"/>
        <v>#DIV/0!</v>
      </c>
      <c r="I309" s="2" t="str">
        <f t="shared" si="30"/>
        <v>#DIV/0!</v>
      </c>
    </row>
    <row r="310">
      <c r="C310" s="9">
        <v>46291.0</v>
      </c>
      <c r="D310" s="1" t="s">
        <v>6</v>
      </c>
      <c r="E310" s="1">
        <v>0.0</v>
      </c>
      <c r="F310" s="1">
        <v>0.0</v>
      </c>
      <c r="G310" s="2">
        <f t="shared" si="28"/>
        <v>0</v>
      </c>
      <c r="H310" s="3" t="str">
        <f t="shared" si="29"/>
        <v>#DIV/0!</v>
      </c>
      <c r="I310" s="2" t="str">
        <f t="shared" si="30"/>
        <v>#DIV/0!</v>
      </c>
    </row>
    <row r="311">
      <c r="C311" s="9">
        <v>46292.0</v>
      </c>
      <c r="D311" s="1" t="s">
        <v>7</v>
      </c>
      <c r="E311" s="1">
        <v>0.0</v>
      </c>
      <c r="F311" s="1">
        <v>0.0</v>
      </c>
      <c r="G311" s="2">
        <f t="shared" si="28"/>
        <v>0</v>
      </c>
      <c r="H311" s="3" t="str">
        <f t="shared" si="29"/>
        <v>#DIV/0!</v>
      </c>
      <c r="I311" s="2" t="str">
        <f t="shared" si="30"/>
        <v>#DIV/0!</v>
      </c>
    </row>
    <row r="312">
      <c r="C312" s="9">
        <v>46293.0</v>
      </c>
      <c r="D312" s="1" t="s">
        <v>1</v>
      </c>
      <c r="E312" s="1">
        <v>0.0</v>
      </c>
      <c r="F312" s="1">
        <v>0.0</v>
      </c>
      <c r="G312" s="2">
        <f t="shared" si="28"/>
        <v>0</v>
      </c>
      <c r="H312" s="3" t="str">
        <f t="shared" si="29"/>
        <v>#DIV/0!</v>
      </c>
      <c r="I312" s="2" t="str">
        <f t="shared" si="30"/>
        <v>#DIV/0!</v>
      </c>
    </row>
    <row r="313">
      <c r="C313" s="9">
        <v>46294.0</v>
      </c>
      <c r="D313" s="1" t="s">
        <v>2</v>
      </c>
      <c r="E313" s="1">
        <v>0.0</v>
      </c>
      <c r="F313" s="1">
        <v>0.0</v>
      </c>
      <c r="G313" s="2">
        <f t="shared" si="28"/>
        <v>0</v>
      </c>
      <c r="H313" s="3" t="str">
        <f t="shared" si="29"/>
        <v>#DIV/0!</v>
      </c>
      <c r="I313" s="2" t="str">
        <f t="shared" si="30"/>
        <v>#DIV/0!</v>
      </c>
    </row>
    <row r="314">
      <c r="C314" s="9">
        <v>46295.0</v>
      </c>
      <c r="D314" s="1" t="s">
        <v>3</v>
      </c>
      <c r="E314" s="1">
        <v>0.0</v>
      </c>
      <c r="F314" s="1">
        <v>0.0</v>
      </c>
      <c r="G314" s="2">
        <f t="shared" si="28"/>
        <v>0</v>
      </c>
      <c r="H314" s="3" t="str">
        <f t="shared" si="29"/>
        <v>#DIV/0!</v>
      </c>
      <c r="I314" s="2" t="str">
        <f t="shared" si="30"/>
        <v>#DIV/0!</v>
      </c>
    </row>
    <row r="315">
      <c r="H315" s="3"/>
    </row>
    <row r="316">
      <c r="A316" s="1">
        <v>2026.0</v>
      </c>
      <c r="B316" s="1" t="s">
        <v>69</v>
      </c>
      <c r="C316" s="9">
        <f t="array" ref="C316:C346">SEQUENCE(31,1,DATE(2026,10,1),1)
</f>
        <v>46296</v>
      </c>
      <c r="D316" s="1" t="s">
        <v>4</v>
      </c>
      <c r="E316" s="1">
        <v>0.0</v>
      </c>
      <c r="F316" s="1">
        <v>0.0</v>
      </c>
      <c r="G316" s="2">
        <f t="shared" ref="G316:G346" si="31">(F316-E316)</f>
        <v>0</v>
      </c>
      <c r="H316" s="3" t="str">
        <f t="shared" ref="H316:H346" si="32">E316/F316</f>
        <v>#DIV/0!</v>
      </c>
      <c r="I316" s="2" t="str">
        <f t="shared" ref="I316:I346" si="33">ROUND((E316/F316)*10,1)</f>
        <v>#DIV/0!</v>
      </c>
      <c r="J316" s="7" t="s">
        <v>57</v>
      </c>
      <c r="K316" s="2" t="str">
        <f>MAX(H316:H346)</f>
        <v>#DIV/0!</v>
      </c>
    </row>
    <row r="317">
      <c r="C317" s="9">
        <v>46297.0</v>
      </c>
      <c r="D317" s="1" t="s">
        <v>5</v>
      </c>
      <c r="E317" s="1">
        <v>0.0</v>
      </c>
      <c r="F317" s="1">
        <v>0.0</v>
      </c>
      <c r="G317" s="2">
        <f t="shared" si="31"/>
        <v>0</v>
      </c>
      <c r="H317" s="3" t="str">
        <f t="shared" si="32"/>
        <v>#DIV/0!</v>
      </c>
      <c r="I317" s="2" t="str">
        <f t="shared" si="33"/>
        <v>#DIV/0!</v>
      </c>
    </row>
    <row r="318">
      <c r="C318" s="9">
        <v>46298.0</v>
      </c>
      <c r="D318" s="1" t="s">
        <v>6</v>
      </c>
      <c r="E318" s="1">
        <v>0.0</v>
      </c>
      <c r="F318" s="1">
        <v>0.0</v>
      </c>
      <c r="G318" s="2">
        <f t="shared" si="31"/>
        <v>0</v>
      </c>
      <c r="H318" s="3" t="str">
        <f t="shared" si="32"/>
        <v>#DIV/0!</v>
      </c>
      <c r="I318" s="2" t="str">
        <f t="shared" si="33"/>
        <v>#DIV/0!</v>
      </c>
      <c r="J318" s="7" t="s">
        <v>58</v>
      </c>
      <c r="K318" s="2" t="str">
        <f>MIN(H316:H346)</f>
        <v>#DIV/0!</v>
      </c>
    </row>
    <row r="319">
      <c r="C319" s="9">
        <v>46299.0</v>
      </c>
      <c r="D319" s="1" t="s">
        <v>7</v>
      </c>
      <c r="E319" s="1">
        <v>0.0</v>
      </c>
      <c r="F319" s="1">
        <v>0.0</v>
      </c>
      <c r="G319" s="2">
        <f t="shared" si="31"/>
        <v>0</v>
      </c>
      <c r="H319" s="3" t="str">
        <f t="shared" si="32"/>
        <v>#DIV/0!</v>
      </c>
      <c r="I319" s="2" t="str">
        <f t="shared" si="33"/>
        <v>#DIV/0!</v>
      </c>
    </row>
    <row r="320">
      <c r="C320" s="9">
        <v>46300.0</v>
      </c>
      <c r="D320" s="1" t="s">
        <v>1</v>
      </c>
      <c r="E320" s="1">
        <v>0.0</v>
      </c>
      <c r="F320" s="1">
        <v>0.0</v>
      </c>
      <c r="G320" s="2">
        <f t="shared" si="31"/>
        <v>0</v>
      </c>
      <c r="H320" s="3" t="str">
        <f t="shared" si="32"/>
        <v>#DIV/0!</v>
      </c>
      <c r="I320" s="2" t="str">
        <f t="shared" si="33"/>
        <v>#DIV/0!</v>
      </c>
      <c r="J320" s="7" t="s">
        <v>59</v>
      </c>
      <c r="K320" s="2" t="str">
        <f>AVERAGE(H316:H346)</f>
        <v>#DIV/0!</v>
      </c>
    </row>
    <row r="321">
      <c r="C321" s="9">
        <v>46301.0</v>
      </c>
      <c r="D321" s="1" t="s">
        <v>2</v>
      </c>
      <c r="E321" s="1">
        <v>0.0</v>
      </c>
      <c r="F321" s="1">
        <v>0.0</v>
      </c>
      <c r="G321" s="2">
        <f t="shared" si="31"/>
        <v>0</v>
      </c>
      <c r="H321" s="3" t="str">
        <f t="shared" si="32"/>
        <v>#DIV/0!</v>
      </c>
      <c r="I321" s="2" t="str">
        <f t="shared" si="33"/>
        <v>#DIV/0!</v>
      </c>
    </row>
    <row r="322">
      <c r="C322" s="9">
        <v>46302.0</v>
      </c>
      <c r="D322" s="1" t="s">
        <v>3</v>
      </c>
      <c r="E322" s="1">
        <v>0.0</v>
      </c>
      <c r="F322" s="1">
        <v>0.0</v>
      </c>
      <c r="G322" s="2">
        <f t="shared" si="31"/>
        <v>0</v>
      </c>
      <c r="H322" s="3" t="str">
        <f t="shared" si="32"/>
        <v>#DIV/0!</v>
      </c>
      <c r="I322" s="2" t="str">
        <f t="shared" si="33"/>
        <v>#DIV/0!</v>
      </c>
    </row>
    <row r="323">
      <c r="C323" s="9">
        <v>46303.0</v>
      </c>
      <c r="D323" s="1" t="s">
        <v>4</v>
      </c>
      <c r="E323" s="1">
        <v>0.0</v>
      </c>
      <c r="F323" s="1">
        <v>0.0</v>
      </c>
      <c r="G323" s="2">
        <f t="shared" si="31"/>
        <v>0</v>
      </c>
      <c r="H323" s="3" t="str">
        <f t="shared" si="32"/>
        <v>#DIV/0!</v>
      </c>
      <c r="I323" s="2" t="str">
        <f t="shared" si="33"/>
        <v>#DIV/0!</v>
      </c>
    </row>
    <row r="324">
      <c r="C324" s="9">
        <v>46304.0</v>
      </c>
      <c r="D324" s="1" t="s">
        <v>5</v>
      </c>
      <c r="E324" s="1">
        <v>0.0</v>
      </c>
      <c r="F324" s="1">
        <v>0.0</v>
      </c>
      <c r="G324" s="2">
        <f t="shared" si="31"/>
        <v>0</v>
      </c>
      <c r="H324" s="3" t="str">
        <f t="shared" si="32"/>
        <v>#DIV/0!</v>
      </c>
      <c r="I324" s="2" t="str">
        <f t="shared" si="33"/>
        <v>#DIV/0!</v>
      </c>
    </row>
    <row r="325">
      <c r="C325" s="9">
        <v>46305.0</v>
      </c>
      <c r="D325" s="1" t="s">
        <v>6</v>
      </c>
      <c r="E325" s="1">
        <v>0.0</v>
      </c>
      <c r="F325" s="1">
        <v>0.0</v>
      </c>
      <c r="G325" s="2">
        <f t="shared" si="31"/>
        <v>0</v>
      </c>
      <c r="H325" s="3" t="str">
        <f t="shared" si="32"/>
        <v>#DIV/0!</v>
      </c>
      <c r="I325" s="2" t="str">
        <f t="shared" si="33"/>
        <v>#DIV/0!</v>
      </c>
    </row>
    <row r="326">
      <c r="C326" s="9">
        <v>46306.0</v>
      </c>
      <c r="D326" s="1" t="s">
        <v>7</v>
      </c>
      <c r="E326" s="1">
        <v>0.0</v>
      </c>
      <c r="F326" s="1">
        <v>0.0</v>
      </c>
      <c r="G326" s="2">
        <f t="shared" si="31"/>
        <v>0</v>
      </c>
      <c r="H326" s="3" t="str">
        <f t="shared" si="32"/>
        <v>#DIV/0!</v>
      </c>
      <c r="I326" s="2" t="str">
        <f t="shared" si="33"/>
        <v>#DIV/0!</v>
      </c>
    </row>
    <row r="327">
      <c r="C327" s="9">
        <v>46307.0</v>
      </c>
      <c r="D327" s="1" t="s">
        <v>1</v>
      </c>
      <c r="E327" s="1">
        <v>0.0</v>
      </c>
      <c r="F327" s="1">
        <v>0.0</v>
      </c>
      <c r="G327" s="2">
        <f t="shared" si="31"/>
        <v>0</v>
      </c>
      <c r="H327" s="3" t="str">
        <f t="shared" si="32"/>
        <v>#DIV/0!</v>
      </c>
      <c r="I327" s="2" t="str">
        <f t="shared" si="33"/>
        <v>#DIV/0!</v>
      </c>
    </row>
    <row r="328">
      <c r="C328" s="9">
        <v>46308.0</v>
      </c>
      <c r="D328" s="1" t="s">
        <v>2</v>
      </c>
      <c r="E328" s="1">
        <v>0.0</v>
      </c>
      <c r="F328" s="1">
        <v>0.0</v>
      </c>
      <c r="G328" s="2">
        <f t="shared" si="31"/>
        <v>0</v>
      </c>
      <c r="H328" s="3" t="str">
        <f t="shared" si="32"/>
        <v>#DIV/0!</v>
      </c>
      <c r="I328" s="2" t="str">
        <f t="shared" si="33"/>
        <v>#DIV/0!</v>
      </c>
    </row>
    <row r="329">
      <c r="C329" s="9">
        <v>46309.0</v>
      </c>
      <c r="D329" s="1" t="s">
        <v>3</v>
      </c>
      <c r="E329" s="1">
        <v>0.0</v>
      </c>
      <c r="F329" s="1">
        <v>0.0</v>
      </c>
      <c r="G329" s="2">
        <f t="shared" si="31"/>
        <v>0</v>
      </c>
      <c r="H329" s="3" t="str">
        <f t="shared" si="32"/>
        <v>#DIV/0!</v>
      </c>
      <c r="I329" s="2" t="str">
        <f t="shared" si="33"/>
        <v>#DIV/0!</v>
      </c>
    </row>
    <row r="330">
      <c r="C330" s="9">
        <v>46310.0</v>
      </c>
      <c r="D330" s="1" t="s">
        <v>4</v>
      </c>
      <c r="E330" s="1">
        <v>0.0</v>
      </c>
      <c r="F330" s="1">
        <v>0.0</v>
      </c>
      <c r="G330" s="2">
        <f t="shared" si="31"/>
        <v>0</v>
      </c>
      <c r="H330" s="3" t="str">
        <f t="shared" si="32"/>
        <v>#DIV/0!</v>
      </c>
      <c r="I330" s="2" t="str">
        <f t="shared" si="33"/>
        <v>#DIV/0!</v>
      </c>
    </row>
    <row r="331">
      <c r="C331" s="9">
        <v>46311.0</v>
      </c>
      <c r="D331" s="1" t="s">
        <v>5</v>
      </c>
      <c r="E331" s="1">
        <v>0.0</v>
      </c>
      <c r="F331" s="1">
        <v>0.0</v>
      </c>
      <c r="G331" s="2">
        <f t="shared" si="31"/>
        <v>0</v>
      </c>
      <c r="H331" s="3" t="str">
        <f t="shared" si="32"/>
        <v>#DIV/0!</v>
      </c>
      <c r="I331" s="2" t="str">
        <f t="shared" si="33"/>
        <v>#DIV/0!</v>
      </c>
    </row>
    <row r="332">
      <c r="C332" s="9">
        <v>46312.0</v>
      </c>
      <c r="D332" s="1" t="s">
        <v>6</v>
      </c>
      <c r="E332" s="1">
        <v>0.0</v>
      </c>
      <c r="F332" s="1">
        <v>0.0</v>
      </c>
      <c r="G332" s="2">
        <f t="shared" si="31"/>
        <v>0</v>
      </c>
      <c r="H332" s="3" t="str">
        <f t="shared" si="32"/>
        <v>#DIV/0!</v>
      </c>
      <c r="I332" s="2" t="str">
        <f t="shared" si="33"/>
        <v>#DIV/0!</v>
      </c>
    </row>
    <row r="333">
      <c r="C333" s="9">
        <v>46313.0</v>
      </c>
      <c r="D333" s="1" t="s">
        <v>7</v>
      </c>
      <c r="E333" s="1">
        <v>0.0</v>
      </c>
      <c r="F333" s="1">
        <v>0.0</v>
      </c>
      <c r="G333" s="2">
        <f t="shared" si="31"/>
        <v>0</v>
      </c>
      <c r="H333" s="3" t="str">
        <f t="shared" si="32"/>
        <v>#DIV/0!</v>
      </c>
      <c r="I333" s="2" t="str">
        <f t="shared" si="33"/>
        <v>#DIV/0!</v>
      </c>
    </row>
    <row r="334">
      <c r="C334" s="9">
        <v>46314.0</v>
      </c>
      <c r="D334" s="1" t="s">
        <v>1</v>
      </c>
      <c r="E334" s="1">
        <v>0.0</v>
      </c>
      <c r="F334" s="1">
        <v>0.0</v>
      </c>
      <c r="G334" s="2">
        <f t="shared" si="31"/>
        <v>0</v>
      </c>
      <c r="H334" s="3" t="str">
        <f t="shared" si="32"/>
        <v>#DIV/0!</v>
      </c>
      <c r="I334" s="2" t="str">
        <f t="shared" si="33"/>
        <v>#DIV/0!</v>
      </c>
    </row>
    <row r="335">
      <c r="C335" s="9">
        <v>46315.0</v>
      </c>
      <c r="D335" s="1" t="s">
        <v>2</v>
      </c>
      <c r="E335" s="1">
        <v>0.0</v>
      </c>
      <c r="F335" s="1">
        <v>0.0</v>
      </c>
      <c r="G335" s="2">
        <f t="shared" si="31"/>
        <v>0</v>
      </c>
      <c r="H335" s="3" t="str">
        <f t="shared" si="32"/>
        <v>#DIV/0!</v>
      </c>
      <c r="I335" s="2" t="str">
        <f t="shared" si="33"/>
        <v>#DIV/0!</v>
      </c>
    </row>
    <row r="336">
      <c r="C336" s="9">
        <v>46316.0</v>
      </c>
      <c r="D336" s="1" t="s">
        <v>3</v>
      </c>
      <c r="E336" s="1">
        <v>0.0</v>
      </c>
      <c r="F336" s="1">
        <v>0.0</v>
      </c>
      <c r="G336" s="2">
        <f t="shared" si="31"/>
        <v>0</v>
      </c>
      <c r="H336" s="3" t="str">
        <f t="shared" si="32"/>
        <v>#DIV/0!</v>
      </c>
      <c r="I336" s="2" t="str">
        <f t="shared" si="33"/>
        <v>#DIV/0!</v>
      </c>
    </row>
    <row r="337">
      <c r="C337" s="9">
        <v>46317.0</v>
      </c>
      <c r="D337" s="1" t="s">
        <v>4</v>
      </c>
      <c r="E337" s="1">
        <v>0.0</v>
      </c>
      <c r="F337" s="1">
        <v>0.0</v>
      </c>
      <c r="G337" s="2">
        <f t="shared" si="31"/>
        <v>0</v>
      </c>
      <c r="H337" s="3" t="str">
        <f t="shared" si="32"/>
        <v>#DIV/0!</v>
      </c>
      <c r="I337" s="2" t="str">
        <f t="shared" si="33"/>
        <v>#DIV/0!</v>
      </c>
    </row>
    <row r="338">
      <c r="C338" s="9">
        <v>46318.0</v>
      </c>
      <c r="D338" s="1" t="s">
        <v>5</v>
      </c>
      <c r="E338" s="1">
        <v>0.0</v>
      </c>
      <c r="F338" s="1">
        <v>0.0</v>
      </c>
      <c r="G338" s="2">
        <f t="shared" si="31"/>
        <v>0</v>
      </c>
      <c r="H338" s="3" t="str">
        <f t="shared" si="32"/>
        <v>#DIV/0!</v>
      </c>
      <c r="I338" s="2" t="str">
        <f t="shared" si="33"/>
        <v>#DIV/0!</v>
      </c>
    </row>
    <row r="339">
      <c r="C339" s="9">
        <v>46319.0</v>
      </c>
      <c r="D339" s="1" t="s">
        <v>6</v>
      </c>
      <c r="E339" s="1">
        <v>0.0</v>
      </c>
      <c r="F339" s="1">
        <v>0.0</v>
      </c>
      <c r="G339" s="2">
        <f t="shared" si="31"/>
        <v>0</v>
      </c>
      <c r="H339" s="3" t="str">
        <f t="shared" si="32"/>
        <v>#DIV/0!</v>
      </c>
      <c r="I339" s="2" t="str">
        <f t="shared" si="33"/>
        <v>#DIV/0!</v>
      </c>
    </row>
    <row r="340">
      <c r="C340" s="9">
        <v>46320.0</v>
      </c>
      <c r="D340" s="1" t="s">
        <v>7</v>
      </c>
      <c r="E340" s="1">
        <v>0.0</v>
      </c>
      <c r="F340" s="1">
        <v>0.0</v>
      </c>
      <c r="G340" s="2">
        <f t="shared" si="31"/>
        <v>0</v>
      </c>
      <c r="H340" s="3" t="str">
        <f t="shared" si="32"/>
        <v>#DIV/0!</v>
      </c>
      <c r="I340" s="2" t="str">
        <f t="shared" si="33"/>
        <v>#DIV/0!</v>
      </c>
    </row>
    <row r="341">
      <c r="C341" s="9">
        <v>46321.0</v>
      </c>
      <c r="D341" s="1" t="s">
        <v>1</v>
      </c>
      <c r="E341" s="1">
        <v>0.0</v>
      </c>
      <c r="F341" s="1">
        <v>0.0</v>
      </c>
      <c r="G341" s="2">
        <f t="shared" si="31"/>
        <v>0</v>
      </c>
      <c r="H341" s="3" t="str">
        <f t="shared" si="32"/>
        <v>#DIV/0!</v>
      </c>
      <c r="I341" s="2" t="str">
        <f t="shared" si="33"/>
        <v>#DIV/0!</v>
      </c>
    </row>
    <row r="342">
      <c r="C342" s="9">
        <v>46322.0</v>
      </c>
      <c r="D342" s="1" t="s">
        <v>2</v>
      </c>
      <c r="E342" s="1">
        <v>0.0</v>
      </c>
      <c r="F342" s="1">
        <v>0.0</v>
      </c>
      <c r="G342" s="2">
        <f t="shared" si="31"/>
        <v>0</v>
      </c>
      <c r="H342" s="3" t="str">
        <f t="shared" si="32"/>
        <v>#DIV/0!</v>
      </c>
      <c r="I342" s="2" t="str">
        <f t="shared" si="33"/>
        <v>#DIV/0!</v>
      </c>
    </row>
    <row r="343">
      <c r="C343" s="9">
        <v>46323.0</v>
      </c>
      <c r="D343" s="1" t="s">
        <v>3</v>
      </c>
      <c r="E343" s="1">
        <v>0.0</v>
      </c>
      <c r="F343" s="1">
        <v>0.0</v>
      </c>
      <c r="G343" s="2">
        <f t="shared" si="31"/>
        <v>0</v>
      </c>
      <c r="H343" s="3" t="str">
        <f t="shared" si="32"/>
        <v>#DIV/0!</v>
      </c>
      <c r="I343" s="2" t="str">
        <f t="shared" si="33"/>
        <v>#DIV/0!</v>
      </c>
    </row>
    <row r="344">
      <c r="C344" s="9">
        <v>46324.0</v>
      </c>
      <c r="D344" s="1" t="s">
        <v>4</v>
      </c>
      <c r="E344" s="1">
        <v>0.0</v>
      </c>
      <c r="F344" s="1">
        <v>0.0</v>
      </c>
      <c r="G344" s="2">
        <f t="shared" si="31"/>
        <v>0</v>
      </c>
      <c r="H344" s="3" t="str">
        <f t="shared" si="32"/>
        <v>#DIV/0!</v>
      </c>
      <c r="I344" s="2" t="str">
        <f t="shared" si="33"/>
        <v>#DIV/0!</v>
      </c>
    </row>
    <row r="345">
      <c r="C345" s="9">
        <v>46325.0</v>
      </c>
      <c r="D345" s="1" t="s">
        <v>5</v>
      </c>
      <c r="E345" s="1">
        <v>0.0</v>
      </c>
      <c r="F345" s="1">
        <v>0.0</v>
      </c>
      <c r="G345" s="2">
        <f t="shared" si="31"/>
        <v>0</v>
      </c>
      <c r="H345" s="3" t="str">
        <f t="shared" si="32"/>
        <v>#DIV/0!</v>
      </c>
      <c r="I345" s="2" t="str">
        <f t="shared" si="33"/>
        <v>#DIV/0!</v>
      </c>
    </row>
    <row r="346">
      <c r="C346" s="9">
        <v>46326.0</v>
      </c>
      <c r="D346" s="1" t="s">
        <v>6</v>
      </c>
      <c r="E346" s="1">
        <v>0.0</v>
      </c>
      <c r="F346" s="1">
        <v>0.0</v>
      </c>
      <c r="G346" s="2">
        <f t="shared" si="31"/>
        <v>0</v>
      </c>
      <c r="H346" s="3" t="str">
        <f t="shared" si="32"/>
        <v>#DIV/0!</v>
      </c>
      <c r="I346" s="2" t="str">
        <f t="shared" si="33"/>
        <v>#DIV/0!</v>
      </c>
    </row>
    <row r="347">
      <c r="H347" s="3"/>
    </row>
    <row r="348">
      <c r="A348" s="1">
        <v>2026.0</v>
      </c>
      <c r="B348" s="1" t="s">
        <v>70</v>
      </c>
      <c r="C348" s="9">
        <f t="array" ref="C348:C377">SEQUENCE(30,1,DATE(2026,11,1),1)
</f>
        <v>46327</v>
      </c>
      <c r="D348" s="1" t="s">
        <v>7</v>
      </c>
      <c r="E348" s="1">
        <v>0.0</v>
      </c>
      <c r="F348" s="1">
        <v>0.0</v>
      </c>
      <c r="G348" s="2">
        <f t="shared" ref="G348:G377" si="34">(F348-E348)</f>
        <v>0</v>
      </c>
      <c r="H348" s="3" t="str">
        <f t="shared" ref="H348:H377" si="35">E348/F348</f>
        <v>#DIV/0!</v>
      </c>
      <c r="I348" s="2" t="str">
        <f t="shared" ref="I348:I377" si="36">ROUND((E348/F348)*10,1)</f>
        <v>#DIV/0!</v>
      </c>
      <c r="J348" s="7" t="s">
        <v>57</v>
      </c>
      <c r="K348" s="2" t="str">
        <f>MAX(H348:H377)</f>
        <v>#DIV/0!</v>
      </c>
    </row>
    <row r="349">
      <c r="C349" s="9">
        <v>46328.0</v>
      </c>
      <c r="D349" s="1" t="s">
        <v>1</v>
      </c>
      <c r="E349" s="1">
        <v>0.0</v>
      </c>
      <c r="F349" s="1">
        <v>0.0</v>
      </c>
      <c r="G349" s="2">
        <f t="shared" si="34"/>
        <v>0</v>
      </c>
      <c r="H349" s="3" t="str">
        <f t="shared" si="35"/>
        <v>#DIV/0!</v>
      </c>
      <c r="I349" s="2" t="str">
        <f t="shared" si="36"/>
        <v>#DIV/0!</v>
      </c>
    </row>
    <row r="350">
      <c r="C350" s="9">
        <v>46329.0</v>
      </c>
      <c r="D350" s="1" t="s">
        <v>2</v>
      </c>
      <c r="E350" s="1">
        <v>0.0</v>
      </c>
      <c r="F350" s="1">
        <v>0.0</v>
      </c>
      <c r="G350" s="2">
        <f t="shared" si="34"/>
        <v>0</v>
      </c>
      <c r="H350" s="3" t="str">
        <f t="shared" si="35"/>
        <v>#DIV/0!</v>
      </c>
      <c r="I350" s="2" t="str">
        <f t="shared" si="36"/>
        <v>#DIV/0!</v>
      </c>
      <c r="J350" s="7" t="s">
        <v>58</v>
      </c>
      <c r="K350" s="2" t="str">
        <f>MIN(H348:H377)</f>
        <v>#DIV/0!</v>
      </c>
    </row>
    <row r="351">
      <c r="C351" s="9">
        <v>46330.0</v>
      </c>
      <c r="D351" s="1" t="s">
        <v>3</v>
      </c>
      <c r="E351" s="1">
        <v>0.0</v>
      </c>
      <c r="F351" s="1">
        <v>0.0</v>
      </c>
      <c r="G351" s="2">
        <f t="shared" si="34"/>
        <v>0</v>
      </c>
      <c r="H351" s="3" t="str">
        <f t="shared" si="35"/>
        <v>#DIV/0!</v>
      </c>
      <c r="I351" s="2" t="str">
        <f t="shared" si="36"/>
        <v>#DIV/0!</v>
      </c>
    </row>
    <row r="352">
      <c r="C352" s="9">
        <v>46331.0</v>
      </c>
      <c r="D352" s="1" t="s">
        <v>4</v>
      </c>
      <c r="E352" s="1">
        <v>0.0</v>
      </c>
      <c r="F352" s="1">
        <v>0.0</v>
      </c>
      <c r="G352" s="2">
        <f t="shared" si="34"/>
        <v>0</v>
      </c>
      <c r="H352" s="3" t="str">
        <f t="shared" si="35"/>
        <v>#DIV/0!</v>
      </c>
      <c r="I352" s="2" t="str">
        <f t="shared" si="36"/>
        <v>#DIV/0!</v>
      </c>
      <c r="J352" s="7" t="s">
        <v>59</v>
      </c>
      <c r="K352" s="2" t="str">
        <f>AVERAGE(H348:H377)</f>
        <v>#DIV/0!</v>
      </c>
    </row>
    <row r="353">
      <c r="C353" s="9">
        <v>46332.0</v>
      </c>
      <c r="D353" s="1" t="s">
        <v>5</v>
      </c>
      <c r="E353" s="1">
        <v>0.0</v>
      </c>
      <c r="F353" s="1">
        <v>0.0</v>
      </c>
      <c r="G353" s="2">
        <f t="shared" si="34"/>
        <v>0</v>
      </c>
      <c r="H353" s="3" t="str">
        <f t="shared" si="35"/>
        <v>#DIV/0!</v>
      </c>
      <c r="I353" s="2" t="str">
        <f t="shared" si="36"/>
        <v>#DIV/0!</v>
      </c>
    </row>
    <row r="354">
      <c r="C354" s="9">
        <v>46333.0</v>
      </c>
      <c r="D354" s="1" t="s">
        <v>6</v>
      </c>
      <c r="E354" s="1">
        <v>0.0</v>
      </c>
      <c r="F354" s="1">
        <v>0.0</v>
      </c>
      <c r="G354" s="2">
        <f t="shared" si="34"/>
        <v>0</v>
      </c>
      <c r="H354" s="3" t="str">
        <f t="shared" si="35"/>
        <v>#DIV/0!</v>
      </c>
      <c r="I354" s="2" t="str">
        <f t="shared" si="36"/>
        <v>#DIV/0!</v>
      </c>
    </row>
    <row r="355">
      <c r="C355" s="9">
        <v>46334.0</v>
      </c>
      <c r="D355" s="1" t="s">
        <v>7</v>
      </c>
      <c r="E355" s="1">
        <v>0.0</v>
      </c>
      <c r="F355" s="1">
        <v>0.0</v>
      </c>
      <c r="G355" s="2">
        <f t="shared" si="34"/>
        <v>0</v>
      </c>
      <c r="H355" s="3" t="str">
        <f t="shared" si="35"/>
        <v>#DIV/0!</v>
      </c>
      <c r="I355" s="2" t="str">
        <f t="shared" si="36"/>
        <v>#DIV/0!</v>
      </c>
    </row>
    <row r="356">
      <c r="C356" s="9">
        <v>46335.0</v>
      </c>
      <c r="D356" s="1" t="s">
        <v>1</v>
      </c>
      <c r="E356" s="1">
        <v>0.0</v>
      </c>
      <c r="F356" s="1">
        <v>0.0</v>
      </c>
      <c r="G356" s="2">
        <f t="shared" si="34"/>
        <v>0</v>
      </c>
      <c r="H356" s="3" t="str">
        <f t="shared" si="35"/>
        <v>#DIV/0!</v>
      </c>
      <c r="I356" s="2" t="str">
        <f t="shared" si="36"/>
        <v>#DIV/0!</v>
      </c>
    </row>
    <row r="357">
      <c r="C357" s="9">
        <v>46336.0</v>
      </c>
      <c r="D357" s="1" t="s">
        <v>2</v>
      </c>
      <c r="E357" s="1">
        <v>0.0</v>
      </c>
      <c r="F357" s="1">
        <v>0.0</v>
      </c>
      <c r="G357" s="2">
        <f t="shared" si="34"/>
        <v>0</v>
      </c>
      <c r="H357" s="3" t="str">
        <f t="shared" si="35"/>
        <v>#DIV/0!</v>
      </c>
      <c r="I357" s="2" t="str">
        <f t="shared" si="36"/>
        <v>#DIV/0!</v>
      </c>
    </row>
    <row r="358">
      <c r="C358" s="9">
        <v>46337.0</v>
      </c>
      <c r="D358" s="1" t="s">
        <v>3</v>
      </c>
      <c r="E358" s="1">
        <v>0.0</v>
      </c>
      <c r="F358" s="1">
        <v>0.0</v>
      </c>
      <c r="G358" s="2">
        <f t="shared" si="34"/>
        <v>0</v>
      </c>
      <c r="H358" s="3" t="str">
        <f t="shared" si="35"/>
        <v>#DIV/0!</v>
      </c>
      <c r="I358" s="2" t="str">
        <f t="shared" si="36"/>
        <v>#DIV/0!</v>
      </c>
    </row>
    <row r="359">
      <c r="C359" s="9">
        <v>46338.0</v>
      </c>
      <c r="D359" s="1" t="s">
        <v>4</v>
      </c>
      <c r="E359" s="1">
        <v>0.0</v>
      </c>
      <c r="F359" s="1">
        <v>0.0</v>
      </c>
      <c r="G359" s="2">
        <f t="shared" si="34"/>
        <v>0</v>
      </c>
      <c r="H359" s="3" t="str">
        <f t="shared" si="35"/>
        <v>#DIV/0!</v>
      </c>
      <c r="I359" s="2" t="str">
        <f t="shared" si="36"/>
        <v>#DIV/0!</v>
      </c>
    </row>
    <row r="360">
      <c r="C360" s="9">
        <v>46339.0</v>
      </c>
      <c r="D360" s="1" t="s">
        <v>5</v>
      </c>
      <c r="E360" s="1">
        <v>0.0</v>
      </c>
      <c r="F360" s="1">
        <v>0.0</v>
      </c>
      <c r="G360" s="2">
        <f t="shared" si="34"/>
        <v>0</v>
      </c>
      <c r="H360" s="3" t="str">
        <f t="shared" si="35"/>
        <v>#DIV/0!</v>
      </c>
      <c r="I360" s="2" t="str">
        <f t="shared" si="36"/>
        <v>#DIV/0!</v>
      </c>
    </row>
    <row r="361">
      <c r="C361" s="9">
        <v>46340.0</v>
      </c>
      <c r="D361" s="1" t="s">
        <v>6</v>
      </c>
      <c r="E361" s="1">
        <v>0.0</v>
      </c>
      <c r="F361" s="1">
        <v>0.0</v>
      </c>
      <c r="G361" s="2">
        <f t="shared" si="34"/>
        <v>0</v>
      </c>
      <c r="H361" s="3" t="str">
        <f t="shared" si="35"/>
        <v>#DIV/0!</v>
      </c>
      <c r="I361" s="2" t="str">
        <f t="shared" si="36"/>
        <v>#DIV/0!</v>
      </c>
    </row>
    <row r="362">
      <c r="C362" s="9">
        <v>46341.0</v>
      </c>
      <c r="D362" s="1" t="s">
        <v>7</v>
      </c>
      <c r="E362" s="1">
        <v>0.0</v>
      </c>
      <c r="F362" s="1">
        <v>0.0</v>
      </c>
      <c r="G362" s="2">
        <f t="shared" si="34"/>
        <v>0</v>
      </c>
      <c r="H362" s="3" t="str">
        <f t="shared" si="35"/>
        <v>#DIV/0!</v>
      </c>
      <c r="I362" s="2" t="str">
        <f t="shared" si="36"/>
        <v>#DIV/0!</v>
      </c>
    </row>
    <row r="363">
      <c r="C363" s="9">
        <v>46342.0</v>
      </c>
      <c r="D363" s="1" t="s">
        <v>1</v>
      </c>
      <c r="E363" s="1">
        <v>0.0</v>
      </c>
      <c r="F363" s="1">
        <v>0.0</v>
      </c>
      <c r="G363" s="2">
        <f t="shared" si="34"/>
        <v>0</v>
      </c>
      <c r="H363" s="3" t="str">
        <f t="shared" si="35"/>
        <v>#DIV/0!</v>
      </c>
      <c r="I363" s="2" t="str">
        <f t="shared" si="36"/>
        <v>#DIV/0!</v>
      </c>
    </row>
    <row r="364">
      <c r="C364" s="9">
        <v>46343.0</v>
      </c>
      <c r="D364" s="1" t="s">
        <v>2</v>
      </c>
      <c r="E364" s="1">
        <v>0.0</v>
      </c>
      <c r="F364" s="1">
        <v>0.0</v>
      </c>
      <c r="G364" s="2">
        <f t="shared" si="34"/>
        <v>0</v>
      </c>
      <c r="H364" s="3" t="str">
        <f t="shared" si="35"/>
        <v>#DIV/0!</v>
      </c>
      <c r="I364" s="2" t="str">
        <f t="shared" si="36"/>
        <v>#DIV/0!</v>
      </c>
    </row>
    <row r="365">
      <c r="C365" s="9">
        <v>46344.0</v>
      </c>
      <c r="D365" s="1" t="s">
        <v>3</v>
      </c>
      <c r="E365" s="1">
        <v>0.0</v>
      </c>
      <c r="F365" s="1">
        <v>0.0</v>
      </c>
      <c r="G365" s="2">
        <f t="shared" si="34"/>
        <v>0</v>
      </c>
      <c r="H365" s="3" t="str">
        <f t="shared" si="35"/>
        <v>#DIV/0!</v>
      </c>
      <c r="I365" s="2" t="str">
        <f t="shared" si="36"/>
        <v>#DIV/0!</v>
      </c>
    </row>
    <row r="366">
      <c r="C366" s="9">
        <v>46345.0</v>
      </c>
      <c r="D366" s="1" t="s">
        <v>4</v>
      </c>
      <c r="E366" s="1">
        <v>0.0</v>
      </c>
      <c r="F366" s="1">
        <v>0.0</v>
      </c>
      <c r="G366" s="2">
        <f t="shared" si="34"/>
        <v>0</v>
      </c>
      <c r="H366" s="3" t="str">
        <f t="shared" si="35"/>
        <v>#DIV/0!</v>
      </c>
      <c r="I366" s="2" t="str">
        <f t="shared" si="36"/>
        <v>#DIV/0!</v>
      </c>
    </row>
    <row r="367">
      <c r="C367" s="9">
        <v>46346.0</v>
      </c>
      <c r="D367" s="1" t="s">
        <v>5</v>
      </c>
      <c r="E367" s="1">
        <v>0.0</v>
      </c>
      <c r="F367" s="1">
        <v>0.0</v>
      </c>
      <c r="G367" s="2">
        <f t="shared" si="34"/>
        <v>0</v>
      </c>
      <c r="H367" s="3" t="str">
        <f t="shared" si="35"/>
        <v>#DIV/0!</v>
      </c>
      <c r="I367" s="2" t="str">
        <f t="shared" si="36"/>
        <v>#DIV/0!</v>
      </c>
    </row>
    <row r="368">
      <c r="C368" s="9">
        <v>46347.0</v>
      </c>
      <c r="D368" s="1" t="s">
        <v>6</v>
      </c>
      <c r="E368" s="1">
        <v>0.0</v>
      </c>
      <c r="F368" s="1">
        <v>0.0</v>
      </c>
      <c r="G368" s="2">
        <f t="shared" si="34"/>
        <v>0</v>
      </c>
      <c r="H368" s="3" t="str">
        <f t="shared" si="35"/>
        <v>#DIV/0!</v>
      </c>
      <c r="I368" s="2" t="str">
        <f t="shared" si="36"/>
        <v>#DIV/0!</v>
      </c>
    </row>
    <row r="369">
      <c r="C369" s="9">
        <v>46348.0</v>
      </c>
      <c r="D369" s="1" t="s">
        <v>7</v>
      </c>
      <c r="E369" s="1">
        <v>0.0</v>
      </c>
      <c r="F369" s="1">
        <v>0.0</v>
      </c>
      <c r="G369" s="2">
        <f t="shared" si="34"/>
        <v>0</v>
      </c>
      <c r="H369" s="3" t="str">
        <f t="shared" si="35"/>
        <v>#DIV/0!</v>
      </c>
      <c r="I369" s="2" t="str">
        <f t="shared" si="36"/>
        <v>#DIV/0!</v>
      </c>
    </row>
    <row r="370">
      <c r="C370" s="9">
        <v>46349.0</v>
      </c>
      <c r="D370" s="1" t="s">
        <v>1</v>
      </c>
      <c r="E370" s="1">
        <v>0.0</v>
      </c>
      <c r="F370" s="1">
        <v>0.0</v>
      </c>
      <c r="G370" s="2">
        <f t="shared" si="34"/>
        <v>0</v>
      </c>
      <c r="H370" s="3" t="str">
        <f t="shared" si="35"/>
        <v>#DIV/0!</v>
      </c>
      <c r="I370" s="2" t="str">
        <f t="shared" si="36"/>
        <v>#DIV/0!</v>
      </c>
    </row>
    <row r="371">
      <c r="C371" s="9">
        <v>46350.0</v>
      </c>
      <c r="D371" s="1" t="s">
        <v>2</v>
      </c>
      <c r="E371" s="1">
        <v>0.0</v>
      </c>
      <c r="F371" s="1">
        <v>0.0</v>
      </c>
      <c r="G371" s="2">
        <f t="shared" si="34"/>
        <v>0</v>
      </c>
      <c r="H371" s="3" t="str">
        <f t="shared" si="35"/>
        <v>#DIV/0!</v>
      </c>
      <c r="I371" s="2" t="str">
        <f t="shared" si="36"/>
        <v>#DIV/0!</v>
      </c>
    </row>
    <row r="372">
      <c r="C372" s="9">
        <v>46351.0</v>
      </c>
      <c r="D372" s="1" t="s">
        <v>3</v>
      </c>
      <c r="E372" s="1">
        <v>0.0</v>
      </c>
      <c r="F372" s="1">
        <v>0.0</v>
      </c>
      <c r="G372" s="2">
        <f t="shared" si="34"/>
        <v>0</v>
      </c>
      <c r="H372" s="3" t="str">
        <f t="shared" si="35"/>
        <v>#DIV/0!</v>
      </c>
      <c r="I372" s="2" t="str">
        <f t="shared" si="36"/>
        <v>#DIV/0!</v>
      </c>
    </row>
    <row r="373">
      <c r="C373" s="9">
        <v>46352.0</v>
      </c>
      <c r="D373" s="1" t="s">
        <v>4</v>
      </c>
      <c r="E373" s="1">
        <v>0.0</v>
      </c>
      <c r="F373" s="1">
        <v>0.0</v>
      </c>
      <c r="G373" s="2">
        <f t="shared" si="34"/>
        <v>0</v>
      </c>
      <c r="H373" s="3" t="str">
        <f t="shared" si="35"/>
        <v>#DIV/0!</v>
      </c>
      <c r="I373" s="2" t="str">
        <f t="shared" si="36"/>
        <v>#DIV/0!</v>
      </c>
    </row>
    <row r="374">
      <c r="C374" s="9">
        <v>46353.0</v>
      </c>
      <c r="D374" s="1" t="s">
        <v>5</v>
      </c>
      <c r="E374" s="1">
        <v>0.0</v>
      </c>
      <c r="F374" s="1">
        <v>0.0</v>
      </c>
      <c r="G374" s="2">
        <f t="shared" si="34"/>
        <v>0</v>
      </c>
      <c r="H374" s="3" t="str">
        <f t="shared" si="35"/>
        <v>#DIV/0!</v>
      </c>
      <c r="I374" s="2" t="str">
        <f t="shared" si="36"/>
        <v>#DIV/0!</v>
      </c>
    </row>
    <row r="375">
      <c r="C375" s="9">
        <v>46354.0</v>
      </c>
      <c r="D375" s="1" t="s">
        <v>6</v>
      </c>
      <c r="E375" s="1">
        <v>0.0</v>
      </c>
      <c r="F375" s="1">
        <v>0.0</v>
      </c>
      <c r="G375" s="2">
        <f t="shared" si="34"/>
        <v>0</v>
      </c>
      <c r="H375" s="3" t="str">
        <f t="shared" si="35"/>
        <v>#DIV/0!</v>
      </c>
      <c r="I375" s="2" t="str">
        <f t="shared" si="36"/>
        <v>#DIV/0!</v>
      </c>
    </row>
    <row r="376">
      <c r="C376" s="9">
        <v>46355.0</v>
      </c>
      <c r="D376" s="1" t="s">
        <v>7</v>
      </c>
      <c r="E376" s="1">
        <v>0.0</v>
      </c>
      <c r="F376" s="1">
        <v>0.0</v>
      </c>
      <c r="G376" s="2">
        <f t="shared" si="34"/>
        <v>0</v>
      </c>
      <c r="H376" s="3" t="str">
        <f t="shared" si="35"/>
        <v>#DIV/0!</v>
      </c>
      <c r="I376" s="2" t="str">
        <f t="shared" si="36"/>
        <v>#DIV/0!</v>
      </c>
    </row>
    <row r="377">
      <c r="C377" s="9">
        <v>46356.0</v>
      </c>
      <c r="D377" s="1" t="s">
        <v>1</v>
      </c>
      <c r="E377" s="1">
        <v>0.0</v>
      </c>
      <c r="F377" s="1">
        <v>0.0</v>
      </c>
      <c r="G377" s="2">
        <f t="shared" si="34"/>
        <v>0</v>
      </c>
      <c r="H377" s="3" t="str">
        <f t="shared" si="35"/>
        <v>#DIV/0!</v>
      </c>
      <c r="I377" s="2" t="str">
        <f t="shared" si="36"/>
        <v>#DIV/0!</v>
      </c>
    </row>
    <row r="378">
      <c r="H378" s="3"/>
    </row>
    <row r="379">
      <c r="A379" s="1">
        <v>2026.0</v>
      </c>
      <c r="B379" s="1" t="s">
        <v>56</v>
      </c>
      <c r="C379" s="9">
        <f t="array" ref="C379:C409">SEQUENCE(31,1,DATE(2026,12,1),1)
</f>
        <v>46357</v>
      </c>
      <c r="D379" s="1" t="s">
        <v>2</v>
      </c>
      <c r="E379" s="1">
        <v>0.0</v>
      </c>
      <c r="F379" s="1">
        <v>0.0</v>
      </c>
      <c r="G379" s="2">
        <f t="shared" ref="G379:G409" si="37">(F379-E379)</f>
        <v>0</v>
      </c>
      <c r="H379" s="3" t="str">
        <f t="shared" ref="H379:H409" si="38">E379/F379</f>
        <v>#DIV/0!</v>
      </c>
      <c r="I379" s="2" t="str">
        <f t="shared" ref="I379:I409" si="39">ROUND((E379/F379)*10,1)</f>
        <v>#DIV/0!</v>
      </c>
      <c r="J379" s="7" t="s">
        <v>57</v>
      </c>
      <c r="K379" s="2" t="str">
        <f>MAX(H379:H409)</f>
        <v>#DIV/0!</v>
      </c>
    </row>
    <row r="380">
      <c r="C380" s="9">
        <v>46358.0</v>
      </c>
      <c r="D380" s="1" t="s">
        <v>3</v>
      </c>
      <c r="E380" s="1">
        <v>0.0</v>
      </c>
      <c r="F380" s="1">
        <v>0.0</v>
      </c>
      <c r="G380" s="2">
        <f t="shared" si="37"/>
        <v>0</v>
      </c>
      <c r="H380" s="3" t="str">
        <f t="shared" si="38"/>
        <v>#DIV/0!</v>
      </c>
      <c r="I380" s="2" t="str">
        <f t="shared" si="39"/>
        <v>#DIV/0!</v>
      </c>
    </row>
    <row r="381">
      <c r="C381" s="9">
        <v>46359.0</v>
      </c>
      <c r="D381" s="1" t="s">
        <v>4</v>
      </c>
      <c r="E381" s="1">
        <v>0.0</v>
      </c>
      <c r="F381" s="1">
        <v>0.0</v>
      </c>
      <c r="G381" s="2">
        <f t="shared" si="37"/>
        <v>0</v>
      </c>
      <c r="H381" s="3" t="str">
        <f t="shared" si="38"/>
        <v>#DIV/0!</v>
      </c>
      <c r="I381" s="2" t="str">
        <f t="shared" si="39"/>
        <v>#DIV/0!</v>
      </c>
      <c r="J381" s="7" t="s">
        <v>58</v>
      </c>
      <c r="K381" s="2" t="str">
        <f>MIN(H379:H409)</f>
        <v>#DIV/0!</v>
      </c>
    </row>
    <row r="382">
      <c r="C382" s="9">
        <v>46360.0</v>
      </c>
      <c r="D382" s="1" t="s">
        <v>5</v>
      </c>
      <c r="E382" s="1">
        <v>0.0</v>
      </c>
      <c r="F382" s="1">
        <v>0.0</v>
      </c>
      <c r="G382" s="2">
        <f t="shared" si="37"/>
        <v>0</v>
      </c>
      <c r="H382" s="3" t="str">
        <f t="shared" si="38"/>
        <v>#DIV/0!</v>
      </c>
      <c r="I382" s="2" t="str">
        <f t="shared" si="39"/>
        <v>#DIV/0!</v>
      </c>
    </row>
    <row r="383">
      <c r="C383" s="9">
        <v>46361.0</v>
      </c>
      <c r="D383" s="1" t="s">
        <v>6</v>
      </c>
      <c r="E383" s="1">
        <v>0.0</v>
      </c>
      <c r="F383" s="1">
        <v>0.0</v>
      </c>
      <c r="G383" s="2">
        <f t="shared" si="37"/>
        <v>0</v>
      </c>
      <c r="H383" s="3" t="str">
        <f t="shared" si="38"/>
        <v>#DIV/0!</v>
      </c>
      <c r="I383" s="2" t="str">
        <f t="shared" si="39"/>
        <v>#DIV/0!</v>
      </c>
      <c r="J383" s="7" t="s">
        <v>59</v>
      </c>
      <c r="K383" s="2" t="str">
        <f>AVERAGE(H379:H409)</f>
        <v>#DIV/0!</v>
      </c>
    </row>
    <row r="384">
      <c r="C384" s="9">
        <v>46362.0</v>
      </c>
      <c r="D384" s="1" t="s">
        <v>7</v>
      </c>
      <c r="E384" s="1">
        <v>0.0</v>
      </c>
      <c r="F384" s="1">
        <v>0.0</v>
      </c>
      <c r="G384" s="2">
        <f t="shared" si="37"/>
        <v>0</v>
      </c>
      <c r="H384" s="3" t="str">
        <f t="shared" si="38"/>
        <v>#DIV/0!</v>
      </c>
      <c r="I384" s="2" t="str">
        <f t="shared" si="39"/>
        <v>#DIV/0!</v>
      </c>
    </row>
    <row r="385">
      <c r="C385" s="9">
        <v>46363.0</v>
      </c>
      <c r="D385" s="1" t="s">
        <v>1</v>
      </c>
      <c r="E385" s="1">
        <v>0.0</v>
      </c>
      <c r="F385" s="1">
        <v>0.0</v>
      </c>
      <c r="G385" s="2">
        <f t="shared" si="37"/>
        <v>0</v>
      </c>
      <c r="H385" s="3" t="str">
        <f t="shared" si="38"/>
        <v>#DIV/0!</v>
      </c>
      <c r="I385" s="2" t="str">
        <f t="shared" si="39"/>
        <v>#DIV/0!</v>
      </c>
    </row>
    <row r="386">
      <c r="C386" s="9">
        <v>46364.0</v>
      </c>
      <c r="D386" s="1" t="s">
        <v>2</v>
      </c>
      <c r="E386" s="1">
        <v>0.0</v>
      </c>
      <c r="F386" s="1">
        <v>0.0</v>
      </c>
      <c r="G386" s="2">
        <f t="shared" si="37"/>
        <v>0</v>
      </c>
      <c r="H386" s="3" t="str">
        <f t="shared" si="38"/>
        <v>#DIV/0!</v>
      </c>
      <c r="I386" s="2" t="str">
        <f t="shared" si="39"/>
        <v>#DIV/0!</v>
      </c>
    </row>
    <row r="387">
      <c r="C387" s="9">
        <v>46365.0</v>
      </c>
      <c r="D387" s="1" t="s">
        <v>3</v>
      </c>
      <c r="E387" s="1">
        <v>0.0</v>
      </c>
      <c r="F387" s="1">
        <v>0.0</v>
      </c>
      <c r="G387" s="2">
        <f t="shared" si="37"/>
        <v>0</v>
      </c>
      <c r="H387" s="3" t="str">
        <f t="shared" si="38"/>
        <v>#DIV/0!</v>
      </c>
      <c r="I387" s="2" t="str">
        <f t="shared" si="39"/>
        <v>#DIV/0!</v>
      </c>
    </row>
    <row r="388">
      <c r="C388" s="9">
        <v>46366.0</v>
      </c>
      <c r="D388" s="1" t="s">
        <v>4</v>
      </c>
      <c r="E388" s="1">
        <v>0.0</v>
      </c>
      <c r="F388" s="1">
        <v>0.0</v>
      </c>
      <c r="G388" s="2">
        <f t="shared" si="37"/>
        <v>0</v>
      </c>
      <c r="H388" s="3" t="str">
        <f t="shared" si="38"/>
        <v>#DIV/0!</v>
      </c>
      <c r="I388" s="2" t="str">
        <f t="shared" si="39"/>
        <v>#DIV/0!</v>
      </c>
    </row>
    <row r="389">
      <c r="C389" s="9">
        <v>46367.0</v>
      </c>
      <c r="D389" s="1" t="s">
        <v>5</v>
      </c>
      <c r="E389" s="1">
        <v>0.0</v>
      </c>
      <c r="F389" s="1">
        <v>0.0</v>
      </c>
      <c r="G389" s="2">
        <f t="shared" si="37"/>
        <v>0</v>
      </c>
      <c r="H389" s="3" t="str">
        <f t="shared" si="38"/>
        <v>#DIV/0!</v>
      </c>
      <c r="I389" s="2" t="str">
        <f t="shared" si="39"/>
        <v>#DIV/0!</v>
      </c>
    </row>
    <row r="390">
      <c r="C390" s="9">
        <v>46368.0</v>
      </c>
      <c r="D390" s="1" t="s">
        <v>6</v>
      </c>
      <c r="E390" s="1">
        <v>0.0</v>
      </c>
      <c r="F390" s="1">
        <v>0.0</v>
      </c>
      <c r="G390" s="2">
        <f t="shared" si="37"/>
        <v>0</v>
      </c>
      <c r="H390" s="3" t="str">
        <f t="shared" si="38"/>
        <v>#DIV/0!</v>
      </c>
      <c r="I390" s="2" t="str">
        <f t="shared" si="39"/>
        <v>#DIV/0!</v>
      </c>
    </row>
    <row r="391">
      <c r="C391" s="9">
        <v>46369.0</v>
      </c>
      <c r="D391" s="1" t="s">
        <v>7</v>
      </c>
      <c r="E391" s="1">
        <v>0.0</v>
      </c>
      <c r="F391" s="1">
        <v>0.0</v>
      </c>
      <c r="G391" s="2">
        <f t="shared" si="37"/>
        <v>0</v>
      </c>
      <c r="H391" s="3" t="str">
        <f t="shared" si="38"/>
        <v>#DIV/0!</v>
      </c>
      <c r="I391" s="2" t="str">
        <f t="shared" si="39"/>
        <v>#DIV/0!</v>
      </c>
    </row>
    <row r="392">
      <c r="C392" s="9">
        <v>46370.0</v>
      </c>
      <c r="D392" s="1" t="s">
        <v>1</v>
      </c>
      <c r="E392" s="1">
        <v>0.0</v>
      </c>
      <c r="F392" s="1">
        <v>0.0</v>
      </c>
      <c r="G392" s="2">
        <f t="shared" si="37"/>
        <v>0</v>
      </c>
      <c r="H392" s="3" t="str">
        <f t="shared" si="38"/>
        <v>#DIV/0!</v>
      </c>
      <c r="I392" s="2" t="str">
        <f t="shared" si="39"/>
        <v>#DIV/0!</v>
      </c>
    </row>
    <row r="393">
      <c r="C393" s="9">
        <v>46371.0</v>
      </c>
      <c r="D393" s="1" t="s">
        <v>2</v>
      </c>
      <c r="E393" s="1">
        <v>0.0</v>
      </c>
      <c r="F393" s="1">
        <v>0.0</v>
      </c>
      <c r="G393" s="2">
        <f t="shared" si="37"/>
        <v>0</v>
      </c>
      <c r="H393" s="3" t="str">
        <f t="shared" si="38"/>
        <v>#DIV/0!</v>
      </c>
      <c r="I393" s="2" t="str">
        <f t="shared" si="39"/>
        <v>#DIV/0!</v>
      </c>
    </row>
    <row r="394">
      <c r="C394" s="9">
        <v>46372.0</v>
      </c>
      <c r="D394" s="1" t="s">
        <v>3</v>
      </c>
      <c r="E394" s="1">
        <v>0.0</v>
      </c>
      <c r="F394" s="1">
        <v>0.0</v>
      </c>
      <c r="G394" s="2">
        <f t="shared" si="37"/>
        <v>0</v>
      </c>
      <c r="H394" s="3" t="str">
        <f t="shared" si="38"/>
        <v>#DIV/0!</v>
      </c>
      <c r="I394" s="2" t="str">
        <f t="shared" si="39"/>
        <v>#DIV/0!</v>
      </c>
    </row>
    <row r="395">
      <c r="C395" s="9">
        <v>46373.0</v>
      </c>
      <c r="D395" s="1" t="s">
        <v>4</v>
      </c>
      <c r="E395" s="1">
        <v>0.0</v>
      </c>
      <c r="F395" s="1">
        <v>0.0</v>
      </c>
      <c r="G395" s="2">
        <f t="shared" si="37"/>
        <v>0</v>
      </c>
      <c r="H395" s="3" t="str">
        <f t="shared" si="38"/>
        <v>#DIV/0!</v>
      </c>
      <c r="I395" s="2" t="str">
        <f t="shared" si="39"/>
        <v>#DIV/0!</v>
      </c>
    </row>
    <row r="396">
      <c r="C396" s="9">
        <v>46374.0</v>
      </c>
      <c r="D396" s="1" t="s">
        <v>5</v>
      </c>
      <c r="E396" s="1">
        <v>0.0</v>
      </c>
      <c r="F396" s="1">
        <v>0.0</v>
      </c>
      <c r="G396" s="2">
        <f t="shared" si="37"/>
        <v>0</v>
      </c>
      <c r="H396" s="3" t="str">
        <f t="shared" si="38"/>
        <v>#DIV/0!</v>
      </c>
      <c r="I396" s="2" t="str">
        <f t="shared" si="39"/>
        <v>#DIV/0!</v>
      </c>
    </row>
    <row r="397">
      <c r="C397" s="9">
        <v>46375.0</v>
      </c>
      <c r="D397" s="1" t="s">
        <v>6</v>
      </c>
      <c r="E397" s="1">
        <v>0.0</v>
      </c>
      <c r="F397" s="1">
        <v>0.0</v>
      </c>
      <c r="G397" s="2">
        <f t="shared" si="37"/>
        <v>0</v>
      </c>
      <c r="H397" s="3" t="str">
        <f t="shared" si="38"/>
        <v>#DIV/0!</v>
      </c>
      <c r="I397" s="2" t="str">
        <f t="shared" si="39"/>
        <v>#DIV/0!</v>
      </c>
    </row>
    <row r="398">
      <c r="C398" s="9">
        <v>46376.0</v>
      </c>
      <c r="D398" s="1" t="s">
        <v>7</v>
      </c>
      <c r="E398" s="1">
        <v>0.0</v>
      </c>
      <c r="F398" s="1">
        <v>0.0</v>
      </c>
      <c r="G398" s="2">
        <f t="shared" si="37"/>
        <v>0</v>
      </c>
      <c r="H398" s="3" t="str">
        <f t="shared" si="38"/>
        <v>#DIV/0!</v>
      </c>
      <c r="I398" s="2" t="str">
        <f t="shared" si="39"/>
        <v>#DIV/0!</v>
      </c>
    </row>
    <row r="399">
      <c r="C399" s="9">
        <v>46377.0</v>
      </c>
      <c r="D399" s="1" t="s">
        <v>1</v>
      </c>
      <c r="E399" s="1">
        <v>0.0</v>
      </c>
      <c r="F399" s="1">
        <v>0.0</v>
      </c>
      <c r="G399" s="2">
        <f t="shared" si="37"/>
        <v>0</v>
      </c>
      <c r="H399" s="3" t="str">
        <f t="shared" si="38"/>
        <v>#DIV/0!</v>
      </c>
      <c r="I399" s="2" t="str">
        <f t="shared" si="39"/>
        <v>#DIV/0!</v>
      </c>
    </row>
    <row r="400">
      <c r="C400" s="9">
        <v>46378.0</v>
      </c>
      <c r="D400" s="1" t="s">
        <v>2</v>
      </c>
      <c r="E400" s="1">
        <v>0.0</v>
      </c>
      <c r="F400" s="1">
        <v>0.0</v>
      </c>
      <c r="G400" s="2">
        <f t="shared" si="37"/>
        <v>0</v>
      </c>
      <c r="H400" s="3" t="str">
        <f t="shared" si="38"/>
        <v>#DIV/0!</v>
      </c>
      <c r="I400" s="2" t="str">
        <f t="shared" si="39"/>
        <v>#DIV/0!</v>
      </c>
    </row>
    <row r="401">
      <c r="C401" s="9">
        <v>46379.0</v>
      </c>
      <c r="D401" s="1" t="s">
        <v>3</v>
      </c>
      <c r="E401" s="1">
        <v>0.0</v>
      </c>
      <c r="F401" s="1">
        <v>0.0</v>
      </c>
      <c r="G401" s="2">
        <f t="shared" si="37"/>
        <v>0</v>
      </c>
      <c r="H401" s="3" t="str">
        <f t="shared" si="38"/>
        <v>#DIV/0!</v>
      </c>
      <c r="I401" s="2" t="str">
        <f t="shared" si="39"/>
        <v>#DIV/0!</v>
      </c>
    </row>
    <row r="402">
      <c r="C402" s="9">
        <v>46380.0</v>
      </c>
      <c r="D402" s="1" t="s">
        <v>4</v>
      </c>
      <c r="E402" s="1">
        <v>0.0</v>
      </c>
      <c r="F402" s="1">
        <v>0.0</v>
      </c>
      <c r="G402" s="2">
        <f t="shared" si="37"/>
        <v>0</v>
      </c>
      <c r="H402" s="3" t="str">
        <f t="shared" si="38"/>
        <v>#DIV/0!</v>
      </c>
      <c r="I402" s="2" t="str">
        <f t="shared" si="39"/>
        <v>#DIV/0!</v>
      </c>
    </row>
    <row r="403">
      <c r="C403" s="9">
        <v>46381.0</v>
      </c>
      <c r="D403" s="1" t="s">
        <v>5</v>
      </c>
      <c r="E403" s="1">
        <v>0.0</v>
      </c>
      <c r="F403" s="1">
        <v>0.0</v>
      </c>
      <c r="G403" s="2">
        <f t="shared" si="37"/>
        <v>0</v>
      </c>
      <c r="H403" s="3" t="str">
        <f t="shared" si="38"/>
        <v>#DIV/0!</v>
      </c>
      <c r="I403" s="2" t="str">
        <f t="shared" si="39"/>
        <v>#DIV/0!</v>
      </c>
    </row>
    <row r="404">
      <c r="C404" s="9">
        <v>46382.0</v>
      </c>
      <c r="D404" s="1" t="s">
        <v>6</v>
      </c>
      <c r="E404" s="1">
        <v>0.0</v>
      </c>
      <c r="F404" s="1">
        <v>0.0</v>
      </c>
      <c r="G404" s="2">
        <f t="shared" si="37"/>
        <v>0</v>
      </c>
      <c r="H404" s="3" t="str">
        <f t="shared" si="38"/>
        <v>#DIV/0!</v>
      </c>
      <c r="I404" s="2" t="str">
        <f t="shared" si="39"/>
        <v>#DIV/0!</v>
      </c>
    </row>
    <row r="405">
      <c r="C405" s="9">
        <v>46383.0</v>
      </c>
      <c r="D405" s="1" t="s">
        <v>7</v>
      </c>
      <c r="E405" s="1">
        <v>0.0</v>
      </c>
      <c r="F405" s="1">
        <v>0.0</v>
      </c>
      <c r="G405" s="2">
        <f t="shared" si="37"/>
        <v>0</v>
      </c>
      <c r="H405" s="3" t="str">
        <f t="shared" si="38"/>
        <v>#DIV/0!</v>
      </c>
      <c r="I405" s="2" t="str">
        <f t="shared" si="39"/>
        <v>#DIV/0!</v>
      </c>
    </row>
    <row r="406">
      <c r="C406" s="9">
        <v>46384.0</v>
      </c>
      <c r="D406" s="1" t="s">
        <v>1</v>
      </c>
      <c r="E406" s="1">
        <v>0.0</v>
      </c>
      <c r="F406" s="1">
        <v>0.0</v>
      </c>
      <c r="G406" s="2">
        <f t="shared" si="37"/>
        <v>0</v>
      </c>
      <c r="H406" s="3" t="str">
        <f t="shared" si="38"/>
        <v>#DIV/0!</v>
      </c>
      <c r="I406" s="2" t="str">
        <f t="shared" si="39"/>
        <v>#DIV/0!</v>
      </c>
    </row>
    <row r="407">
      <c r="C407" s="9">
        <v>46385.0</v>
      </c>
      <c r="D407" s="1" t="s">
        <v>2</v>
      </c>
      <c r="E407" s="1">
        <v>0.0</v>
      </c>
      <c r="F407" s="1">
        <v>0.0</v>
      </c>
      <c r="G407" s="2">
        <f t="shared" si="37"/>
        <v>0</v>
      </c>
      <c r="H407" s="3" t="str">
        <f t="shared" si="38"/>
        <v>#DIV/0!</v>
      </c>
      <c r="I407" s="2" t="str">
        <f t="shared" si="39"/>
        <v>#DIV/0!</v>
      </c>
    </row>
    <row r="408">
      <c r="C408" s="9">
        <v>46386.0</v>
      </c>
      <c r="D408" s="1" t="s">
        <v>3</v>
      </c>
      <c r="E408" s="1">
        <v>0.0</v>
      </c>
      <c r="F408" s="1">
        <v>0.0</v>
      </c>
      <c r="G408" s="2">
        <f t="shared" si="37"/>
        <v>0</v>
      </c>
      <c r="H408" s="3" t="str">
        <f t="shared" si="38"/>
        <v>#DIV/0!</v>
      </c>
      <c r="I408" s="2" t="str">
        <f t="shared" si="39"/>
        <v>#DIV/0!</v>
      </c>
    </row>
    <row r="409">
      <c r="C409" s="9">
        <v>46387.0</v>
      </c>
      <c r="D409" s="1" t="s">
        <v>4</v>
      </c>
      <c r="E409" s="1">
        <v>0.0</v>
      </c>
      <c r="F409" s="1">
        <v>0.0</v>
      </c>
      <c r="G409" s="2">
        <f t="shared" si="37"/>
        <v>0</v>
      </c>
      <c r="H409" s="3" t="str">
        <f t="shared" si="38"/>
        <v>#DIV/0!</v>
      </c>
      <c r="I409" s="2" t="str">
        <f t="shared" si="39"/>
        <v>#DIV/0!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88"/>
  </cols>
  <sheetData>
    <row r="1">
      <c r="B1" s="1" t="s">
        <v>71</v>
      </c>
      <c r="D1" s="1" t="s">
        <v>43</v>
      </c>
      <c r="F1" s="1" t="s">
        <v>72</v>
      </c>
    </row>
    <row r="3">
      <c r="B3" s="1" t="s">
        <v>73</v>
      </c>
      <c r="D3" s="10">
        <v>0.0</v>
      </c>
      <c r="F3" s="11">
        <f>1-D3</f>
        <v>1</v>
      </c>
    </row>
    <row r="4">
      <c r="D4" s="3"/>
    </row>
    <row r="5">
      <c r="B5" s="1" t="s">
        <v>74</v>
      </c>
      <c r="D5" s="10">
        <v>0.0</v>
      </c>
      <c r="F5" s="10">
        <f>1-D5</f>
        <v>1</v>
      </c>
    </row>
    <row r="6">
      <c r="D6" s="3"/>
    </row>
    <row r="7">
      <c r="B7" s="1" t="s">
        <v>75</v>
      </c>
      <c r="D7" s="10">
        <v>0.0</v>
      </c>
      <c r="F7" s="10">
        <f>1-D7</f>
        <v>1</v>
      </c>
    </row>
    <row r="8">
      <c r="D8" s="3"/>
    </row>
    <row r="9">
      <c r="B9" s="1" t="s">
        <v>76</v>
      </c>
      <c r="D9" s="10">
        <v>0.82</v>
      </c>
      <c r="F9" s="10">
        <f>1-D9</f>
        <v>0.18</v>
      </c>
    </row>
    <row r="11">
      <c r="B11" s="1" t="s">
        <v>77</v>
      </c>
      <c r="D11" s="10">
        <v>0.5102</v>
      </c>
      <c r="F11" s="10">
        <v>0.4898</v>
      </c>
    </row>
    <row r="22">
      <c r="I22" s="1" t="s">
        <v>78</v>
      </c>
      <c r="J22" s="3">
        <f>MAX(D3:D11)</f>
        <v>0.82</v>
      </c>
    </row>
    <row r="24">
      <c r="I24" s="1" t="s">
        <v>79</v>
      </c>
      <c r="J24" s="3">
        <f>MIN(D3:D11)</f>
        <v>0</v>
      </c>
    </row>
    <row r="26">
      <c r="I26" s="1" t="s">
        <v>80</v>
      </c>
      <c r="J26" s="3">
        <f>AVERAGE(D3:D11)</f>
        <v>0.26604</v>
      </c>
    </row>
    <row r="28">
      <c r="I28" s="1" t="s">
        <v>81</v>
      </c>
      <c r="J28" s="2" t="str">
        <f>IF(D3&gt;D11,"Improving","Declining")</f>
        <v>Declining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14.88"/>
    <col customWidth="1" min="12" max="12" width="18.75"/>
  </cols>
  <sheetData>
    <row r="1">
      <c r="A1" s="1" t="s">
        <v>48</v>
      </c>
      <c r="B1" s="1" t="s">
        <v>47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44</v>
      </c>
      <c r="J1" s="1" t="s">
        <v>88</v>
      </c>
      <c r="K1" s="1" t="s">
        <v>89</v>
      </c>
      <c r="L1" s="1" t="s">
        <v>90</v>
      </c>
      <c r="M1" s="1" t="s">
        <v>91</v>
      </c>
    </row>
    <row r="3">
      <c r="A3" s="1" t="s">
        <v>56</v>
      </c>
      <c r="B3" s="1">
        <v>2025.0</v>
      </c>
      <c r="C3" s="10">
        <v>0.5102</v>
      </c>
      <c r="D3" s="10">
        <v>0.82</v>
      </c>
      <c r="E3" s="10">
        <v>0.0</v>
      </c>
      <c r="F3" s="10">
        <v>0.0</v>
      </c>
      <c r="G3" s="10">
        <v>0.0</v>
      </c>
      <c r="H3" s="3">
        <f>AVERAGE(C3:G3)</f>
        <v>0.26604</v>
      </c>
      <c r="I3" s="3">
        <f>1-H3</f>
        <v>0.73396</v>
      </c>
      <c r="J3" s="3">
        <f>MAX(C3:G3)</f>
        <v>0.82</v>
      </c>
      <c r="K3" s="3">
        <f>MIN(C3:F3)</f>
        <v>0</v>
      </c>
      <c r="L3" s="2" t="str">
        <f>IF(H3="", "",IF(H3&gt;=0.75, "Excellent Month 🎉",IF(H3&gt;=0.6, "Good Progress 🙂", IF(H3&gt;=0.4, "Average – Can Improve ⚠️","Needs Attention ❌"))))</f>
        <v>Needs Attention ❌</v>
      </c>
      <c r="M3" s="2">
        <f>IF(H3="","", RANK(H3, $H$3:$H$27, 0))</f>
        <v>1</v>
      </c>
    </row>
    <row r="4">
      <c r="C4" s="3"/>
      <c r="D4" s="3" t="str">
        <f>IF(A4="","", WEEKDAY(A4))</f>
        <v/>
      </c>
      <c r="E4" s="3"/>
      <c r="F4" s="3"/>
      <c r="G4" s="3"/>
      <c r="H4" s="3"/>
      <c r="I4" s="3"/>
      <c r="J4" s="3"/>
      <c r="K4" s="3"/>
    </row>
    <row r="5">
      <c r="A5" s="1" t="s">
        <v>60</v>
      </c>
      <c r="B5" s="1">
        <v>2026.0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f>AVERAGE(C5:G5)</f>
        <v>0</v>
      </c>
      <c r="I5" s="3">
        <f>1-H5</f>
        <v>1</v>
      </c>
      <c r="J5" s="3">
        <f>MAX(C5:G5)</f>
        <v>0</v>
      </c>
      <c r="K5" s="3">
        <f>MIN(C5:F5)</f>
        <v>0</v>
      </c>
      <c r="L5" s="1" t="s">
        <v>92</v>
      </c>
      <c r="M5" s="2">
        <f>IF(H5="","", RANK(H5, $H$3:$H$27, 0))</f>
        <v>2</v>
      </c>
    </row>
    <row r="6">
      <c r="C6" s="3"/>
      <c r="D6" s="3" t="str">
        <f>IF(A6="","", WEEKDAY(A6))</f>
        <v/>
      </c>
      <c r="E6" s="3"/>
      <c r="F6" s="3"/>
      <c r="G6" s="3"/>
      <c r="H6" s="3"/>
      <c r="I6" s="3"/>
      <c r="J6" s="3"/>
      <c r="K6" s="3"/>
    </row>
    <row r="7">
      <c r="A7" s="1" t="s">
        <v>93</v>
      </c>
      <c r="B7" s="1">
        <v>2026.0</v>
      </c>
      <c r="C7" s="10">
        <v>0.0</v>
      </c>
      <c r="D7" s="10">
        <v>0.0</v>
      </c>
      <c r="E7" s="10">
        <v>0.0</v>
      </c>
      <c r="F7" s="10">
        <v>0.0</v>
      </c>
      <c r="G7" s="10">
        <v>0.0</v>
      </c>
      <c r="H7" s="10">
        <f>AVERAGE(C7:G7)</f>
        <v>0</v>
      </c>
      <c r="I7" s="10">
        <f>1-H7</f>
        <v>1</v>
      </c>
      <c r="J7" s="10">
        <f>MAX(C7:G7)</f>
        <v>0</v>
      </c>
      <c r="K7" s="10">
        <v>0.0</v>
      </c>
      <c r="L7" s="2" t="str">
        <f>IF(H7="", "",IF(H7&gt;=0.75, "Excellent Month 🎉",IF(H7&gt;=0.6, "Good Progress 🙂", IF(H7&gt;=0.4, "Average – Can Improve ⚠️","Needs Attention ❌"))))</f>
        <v>Needs Attention ❌</v>
      </c>
      <c r="M7" s="2">
        <f>IF(H7="","", RANK(H7, $H$3:$H$27, 0))</f>
        <v>2</v>
      </c>
    </row>
    <row r="8">
      <c r="C8" s="3"/>
      <c r="D8" s="3" t="str">
        <f>IF(A8="","", WEEKDAY(A8))</f>
        <v/>
      </c>
      <c r="E8" s="3"/>
      <c r="F8" s="3"/>
      <c r="G8" s="3"/>
      <c r="H8" s="3"/>
      <c r="I8" s="3"/>
      <c r="J8" s="3"/>
      <c r="K8" s="3"/>
    </row>
    <row r="9">
      <c r="A9" s="1" t="s">
        <v>94</v>
      </c>
      <c r="B9" s="1">
        <v>2026.0</v>
      </c>
      <c r="C9" s="10">
        <v>0.0</v>
      </c>
      <c r="D9" s="10">
        <v>0.0</v>
      </c>
      <c r="E9" s="10">
        <v>0.0</v>
      </c>
      <c r="F9" s="10">
        <v>0.0</v>
      </c>
      <c r="G9" s="10">
        <v>0.0</v>
      </c>
      <c r="H9" s="10">
        <f>AVERAGE(C9:G9)</f>
        <v>0</v>
      </c>
      <c r="I9" s="10">
        <f>1-H9</f>
        <v>1</v>
      </c>
      <c r="J9" s="10">
        <f>MAX(C9:G9)</f>
        <v>0</v>
      </c>
      <c r="K9" s="10">
        <v>0.0</v>
      </c>
      <c r="L9" s="2" t="str">
        <f>IF(H9="", "",IF(H9&gt;=0.75, "Excellent Month 🎉",IF(H9&gt;=0.6, "Good Progress 🙂", IF(H9&gt;=0.4, "Average – Can Improve ⚠️","Needs Attention ❌"))))</f>
        <v>Needs Attention ❌</v>
      </c>
      <c r="M9" s="2">
        <f>IF(H9="","", RANK(H9, $H$3:$H$27, 0))</f>
        <v>2</v>
      </c>
    </row>
    <row r="10">
      <c r="C10" s="3"/>
      <c r="D10" s="3" t="str">
        <f>IF(A10="","", WEEKDAY(A10))</f>
        <v/>
      </c>
      <c r="E10" s="3"/>
      <c r="F10" s="3"/>
      <c r="G10" s="3"/>
      <c r="H10" s="3"/>
      <c r="I10" s="3"/>
      <c r="J10" s="3"/>
      <c r="K10" s="10"/>
    </row>
    <row r="11">
      <c r="A11" s="1" t="s">
        <v>95</v>
      </c>
      <c r="B11" s="1">
        <v>2026.0</v>
      </c>
      <c r="C11" s="10">
        <v>0.0</v>
      </c>
      <c r="D11" s="10">
        <v>0.0</v>
      </c>
      <c r="E11" s="10">
        <v>0.0</v>
      </c>
      <c r="F11" s="10">
        <v>0.0</v>
      </c>
      <c r="G11" s="10">
        <v>0.0</v>
      </c>
      <c r="H11" s="10">
        <f>AVERAGE(C11:G11)</f>
        <v>0</v>
      </c>
      <c r="I11" s="10">
        <f>1-H11</f>
        <v>1</v>
      </c>
      <c r="J11" s="10">
        <v>0.0</v>
      </c>
      <c r="K11" s="10">
        <v>0.0</v>
      </c>
      <c r="L11" s="2" t="str">
        <f>IF(H11="", "",IF(H11&gt;=0.75, "Excellent Month 🎉",IF(H11&gt;=0.6, "Good Progress 🙂", IF(H11&gt;=0.4, "Average – Can Improve ⚠️","Needs Attention ❌"))))</f>
        <v>Needs Attention ❌</v>
      </c>
      <c r="M11" s="2">
        <f>IF(H11="","", RANK(H11, $H$3:$H$27, 0))</f>
        <v>2</v>
      </c>
    </row>
    <row r="12">
      <c r="C12" s="3"/>
      <c r="D12" s="3" t="str">
        <f>IF(A12="","", WEEKDAY(A12))</f>
        <v/>
      </c>
      <c r="E12" s="3"/>
      <c r="F12" s="3"/>
      <c r="G12" s="3"/>
      <c r="H12" s="3"/>
      <c r="I12" s="3"/>
      <c r="J12" s="3"/>
      <c r="K12" s="3"/>
    </row>
    <row r="13">
      <c r="A13" s="1" t="s">
        <v>64</v>
      </c>
      <c r="B13" s="1">
        <v>2026.0</v>
      </c>
      <c r="C13" s="10">
        <v>0.0</v>
      </c>
      <c r="D13" s="10">
        <v>0.0</v>
      </c>
      <c r="E13" s="10">
        <v>0.0</v>
      </c>
      <c r="F13" s="10">
        <v>0.0</v>
      </c>
      <c r="G13" s="10">
        <v>0.0</v>
      </c>
      <c r="H13" s="10">
        <f>AVERAGE(C13:G13)</f>
        <v>0</v>
      </c>
      <c r="I13" s="10">
        <f>1-H13</f>
        <v>1</v>
      </c>
      <c r="J13" s="10">
        <v>0.0</v>
      </c>
      <c r="K13" s="10">
        <v>0.0</v>
      </c>
      <c r="L13" s="2" t="str">
        <f>IF(H13="", "",IF(H13&gt;=0.75, "Excellent Month 🎉",IF(H13&gt;=0.6, "Good Progress 🙂", IF(H13&gt;=0.4, "Average – Can Improve ⚠️","Needs Attention ❌"))))</f>
        <v>Needs Attention ❌</v>
      </c>
      <c r="M13" s="2">
        <f>IF(H13="","", RANK(H13, $H$3:$H$27, 0))</f>
        <v>2</v>
      </c>
    </row>
    <row r="14">
      <c r="C14" s="3"/>
      <c r="D14" s="3"/>
      <c r="E14" s="3"/>
      <c r="F14" s="3"/>
      <c r="G14" s="3"/>
      <c r="H14" s="3"/>
      <c r="I14" s="3"/>
      <c r="J14" s="3"/>
      <c r="K14" s="3"/>
    </row>
    <row r="15">
      <c r="A15" s="1" t="s">
        <v>65</v>
      </c>
      <c r="B15" s="1">
        <v>2026.0</v>
      </c>
      <c r="C15" s="10">
        <v>0.0</v>
      </c>
      <c r="D15" s="10">
        <v>0.0</v>
      </c>
      <c r="E15" s="10">
        <v>0.0</v>
      </c>
      <c r="F15" s="10">
        <v>0.0</v>
      </c>
      <c r="G15" s="10">
        <v>0.0</v>
      </c>
      <c r="H15" s="10">
        <f>AVERAGE(C15:G15)</f>
        <v>0</v>
      </c>
      <c r="I15" s="10">
        <f>1-H15</f>
        <v>1</v>
      </c>
      <c r="J15" s="10">
        <v>0.0</v>
      </c>
      <c r="K15" s="10">
        <v>0.0</v>
      </c>
      <c r="L15" s="2" t="str">
        <f>IF(H15="", "",IF(H15&gt;=0.75, "Excellent Month 🎉",IF(H15&gt;=0.6, "Good Progress 🙂", IF(H15&gt;=0.4, "Average – Can Improve ⚠️","Needs Attention ❌"))))</f>
        <v>Needs Attention ❌</v>
      </c>
      <c r="M15" s="2">
        <f>IF(H15="","", RANK(H15, $H$3:$H$27, 0))</f>
        <v>2</v>
      </c>
    </row>
    <row r="16">
      <c r="C16" s="3"/>
      <c r="D16" s="3"/>
      <c r="E16" s="3"/>
      <c r="F16" s="3"/>
      <c r="G16" s="3"/>
      <c r="H16" s="3"/>
      <c r="I16" s="3"/>
      <c r="J16" s="3"/>
      <c r="K16" s="3"/>
    </row>
    <row r="17">
      <c r="A17" s="1" t="s">
        <v>66</v>
      </c>
      <c r="B17" s="1">
        <v>2026.0</v>
      </c>
      <c r="C17" s="10">
        <v>0.0</v>
      </c>
      <c r="D17" s="10">
        <v>0.0</v>
      </c>
      <c r="E17" s="10">
        <v>0.0</v>
      </c>
      <c r="F17" s="10">
        <v>0.0</v>
      </c>
      <c r="G17" s="10">
        <v>0.0</v>
      </c>
      <c r="H17" s="10">
        <f>AVERAGE(C17:G17)</f>
        <v>0</v>
      </c>
      <c r="I17" s="10">
        <f>1-H17</f>
        <v>1</v>
      </c>
      <c r="J17" s="10">
        <v>0.0</v>
      </c>
      <c r="K17" s="10">
        <v>0.0</v>
      </c>
      <c r="L17" s="2" t="str">
        <f>IF(H17="", "",IF(H17&gt;=0.75, "Excellent Month 🎉",IF(H17&gt;=0.6, "Good Progress 🙂", IF(H17&gt;=0.4, "Average – Can Improve ⚠️","Needs Attention ❌"))))</f>
        <v>Needs Attention ❌</v>
      </c>
      <c r="M17" s="2">
        <f>IF(H17="","", RANK(H17, $H$3:$H$27, 0))</f>
        <v>2</v>
      </c>
    </row>
    <row r="18">
      <c r="C18" s="3"/>
      <c r="D18" s="3"/>
      <c r="E18" s="3"/>
      <c r="F18" s="3"/>
      <c r="G18" s="3"/>
      <c r="H18" s="3"/>
      <c r="I18" s="3"/>
      <c r="J18" s="3"/>
      <c r="K18" s="3"/>
    </row>
    <row r="19">
      <c r="A19" s="1" t="s">
        <v>67</v>
      </c>
      <c r="B19" s="1">
        <v>2026.0</v>
      </c>
      <c r="C19" s="10">
        <v>0.0</v>
      </c>
      <c r="D19" s="10">
        <v>0.0</v>
      </c>
      <c r="E19" s="10">
        <v>0.0</v>
      </c>
      <c r="F19" s="10">
        <v>0.0</v>
      </c>
      <c r="G19" s="10">
        <v>0.0</v>
      </c>
      <c r="H19" s="10">
        <f>AVERAGE(C19:G19)</f>
        <v>0</v>
      </c>
      <c r="I19" s="10">
        <f>1-H19</f>
        <v>1</v>
      </c>
      <c r="J19" s="10">
        <v>0.0</v>
      </c>
      <c r="K19" s="10">
        <v>0.0</v>
      </c>
      <c r="L19" s="2" t="str">
        <f>IF(H19="", "",IF(H19&gt;=0.75, "Excellent Month 🎉",IF(H19&gt;=0.6, "Good Progress 🙂", IF(H19&gt;=0.4, "Average – Can Improve ⚠️","Needs Attention ❌"))))</f>
        <v>Needs Attention ❌</v>
      </c>
      <c r="M19" s="2">
        <f>IF(H19="","", RANK(H19, $H$3:$H$27, 0))</f>
        <v>2</v>
      </c>
    </row>
    <row r="20">
      <c r="C20" s="3"/>
      <c r="D20" s="3"/>
      <c r="E20" s="3"/>
      <c r="F20" s="3"/>
      <c r="G20" s="3"/>
      <c r="H20" s="3"/>
      <c r="I20" s="3"/>
      <c r="J20" s="3"/>
      <c r="K20" s="3"/>
    </row>
    <row r="21">
      <c r="A21" s="1" t="s">
        <v>68</v>
      </c>
      <c r="B21" s="1">
        <v>2026.0</v>
      </c>
      <c r="C21" s="10">
        <v>0.0</v>
      </c>
      <c r="D21" s="10">
        <v>0.0</v>
      </c>
      <c r="E21" s="10">
        <v>0.0</v>
      </c>
      <c r="F21" s="10">
        <v>0.0</v>
      </c>
      <c r="G21" s="10">
        <v>0.0</v>
      </c>
      <c r="H21" s="10">
        <f>AVERAGE(C21:G21)</f>
        <v>0</v>
      </c>
      <c r="I21" s="10">
        <f>1-H21</f>
        <v>1</v>
      </c>
      <c r="J21" s="10">
        <v>0.0</v>
      </c>
      <c r="K21" s="10">
        <v>0.0</v>
      </c>
      <c r="L21" s="2" t="str">
        <f>IF(H21="", "",IF(H21&gt;=0.75, "Excellent Month 🎉",IF(H21&gt;=0.6, "Good Progress 🙂", IF(H21&gt;=0.4, "Average – Can Improve ⚠️","Needs Attention ❌"))))</f>
        <v>Needs Attention ❌</v>
      </c>
      <c r="M21" s="2">
        <f>IF(H21="","", RANK(H21, $H$3:$H$27, 0))</f>
        <v>2</v>
      </c>
    </row>
    <row r="22">
      <c r="C22" s="3"/>
      <c r="D22" s="3"/>
      <c r="E22" s="3"/>
      <c r="F22" s="3"/>
      <c r="G22" s="3"/>
      <c r="H22" s="3"/>
      <c r="I22" s="3"/>
      <c r="J22" s="3"/>
      <c r="K22" s="3"/>
    </row>
    <row r="23">
      <c r="A23" s="1" t="s">
        <v>69</v>
      </c>
      <c r="B23" s="1">
        <v>2026.0</v>
      </c>
      <c r="C23" s="10">
        <v>0.0</v>
      </c>
      <c r="D23" s="10">
        <v>0.0</v>
      </c>
      <c r="E23" s="10">
        <v>0.0</v>
      </c>
      <c r="F23" s="10">
        <v>0.0</v>
      </c>
      <c r="G23" s="10">
        <v>0.0</v>
      </c>
      <c r="H23" s="10">
        <f>AVERAGE(C23:G23)</f>
        <v>0</v>
      </c>
      <c r="I23" s="10">
        <f>1-H23</f>
        <v>1</v>
      </c>
      <c r="J23" s="10">
        <v>0.0</v>
      </c>
      <c r="K23" s="10">
        <v>0.0</v>
      </c>
      <c r="L23" s="2" t="str">
        <f>IF(H23="", "",IF(H23&gt;=0.75, "Excellent Month 🎉",IF(H23&gt;=0.6, "Good Progress 🙂", IF(H23&gt;=0.4, "Average – Can Improve ⚠️","Needs Attention ❌"))))</f>
        <v>Needs Attention ❌</v>
      </c>
      <c r="M23" s="2">
        <f>IF(H23="","", RANK(H23, $H$3:$H$27, 0))</f>
        <v>2</v>
      </c>
    </row>
    <row r="24">
      <c r="C24" s="3"/>
      <c r="D24" s="3"/>
      <c r="E24" s="3"/>
      <c r="F24" s="3"/>
      <c r="G24" s="3"/>
      <c r="H24" s="3"/>
      <c r="I24" s="3"/>
      <c r="J24" s="3"/>
      <c r="K24" s="3"/>
    </row>
    <row r="25">
      <c r="A25" s="1" t="s">
        <v>70</v>
      </c>
      <c r="B25" s="1">
        <v>2026.0</v>
      </c>
      <c r="C25" s="10">
        <v>0.0</v>
      </c>
      <c r="D25" s="10">
        <v>0.0</v>
      </c>
      <c r="E25" s="10">
        <v>0.0</v>
      </c>
      <c r="F25" s="10">
        <v>0.0</v>
      </c>
      <c r="G25" s="10">
        <v>0.0</v>
      </c>
      <c r="H25" s="10">
        <f>AVERAGE(C25:G25)</f>
        <v>0</v>
      </c>
      <c r="I25" s="10">
        <f>1-H25</f>
        <v>1</v>
      </c>
      <c r="J25" s="10">
        <v>0.0</v>
      </c>
      <c r="K25" s="10">
        <v>0.0</v>
      </c>
      <c r="L25" s="2" t="str">
        <f>IF(H25="", "",IF(H25&gt;=0.75, "Excellent Month 🎉",IF(H25&gt;=0.6, "Good Progress 🙂", IF(H25&gt;=0.4, "Average – Can Improve ⚠️","Needs Attention ❌"))))</f>
        <v>Needs Attention ❌</v>
      </c>
      <c r="M25" s="2">
        <f>IF(H25="","", RANK(H25, $H$3:$H$27, 0))</f>
        <v>2</v>
      </c>
    </row>
    <row r="26">
      <c r="C26" s="3"/>
      <c r="D26" s="3"/>
      <c r="E26" s="3"/>
      <c r="F26" s="3"/>
      <c r="G26" s="3"/>
      <c r="H26" s="3"/>
      <c r="I26" s="3"/>
      <c r="J26" s="3"/>
      <c r="K26" s="3"/>
    </row>
    <row r="27">
      <c r="A27" s="1" t="s">
        <v>56</v>
      </c>
      <c r="B27" s="1">
        <v>2026.0</v>
      </c>
      <c r="C27" s="10">
        <v>0.0</v>
      </c>
      <c r="D27" s="10">
        <v>0.0</v>
      </c>
      <c r="E27" s="10">
        <v>0.0</v>
      </c>
      <c r="F27" s="10">
        <v>0.0</v>
      </c>
      <c r="G27" s="10">
        <v>0.0</v>
      </c>
      <c r="H27" s="10">
        <f>AVERAGE(C27:G27)</f>
        <v>0</v>
      </c>
      <c r="I27" s="10">
        <f>1-H27</f>
        <v>1</v>
      </c>
      <c r="J27" s="10">
        <v>0.0</v>
      </c>
      <c r="K27" s="10">
        <v>0.0</v>
      </c>
      <c r="L27" s="2" t="str">
        <f>IF(H27="", "",IF(H27&gt;=0.75, "Excellent Month 🎉",IF(H27&gt;=0.6, "Good Progress 🙂", IF(H27&gt;=0.4, "Average – Can Improve ⚠️","Needs Attention ❌"))))</f>
        <v>Needs Attention ❌</v>
      </c>
      <c r="M27" s="2">
        <f>IF(H27="","", RANK(H27, $H$3:$H$27, 0))</f>
        <v>2</v>
      </c>
    </row>
    <row r="28">
      <c r="D28" s="2" t="str">
        <f t="shared" ref="D28:D29" si="1">IF(A28="","", WEEKDAY(A28))</f>
        <v/>
      </c>
    </row>
    <row r="29">
      <c r="D29" s="2" t="str">
        <f t="shared" si="1"/>
        <v/>
      </c>
    </row>
    <row r="30">
      <c r="A30" s="12"/>
    </row>
    <row r="31">
      <c r="D31" s="2" t="str">
        <f t="shared" ref="D31:D385" si="2">IF(A31="","", WEEKDAY(A31))</f>
        <v/>
      </c>
    </row>
    <row r="32">
      <c r="D32" s="2" t="str">
        <f t="shared" si="2"/>
        <v/>
      </c>
    </row>
    <row r="33">
      <c r="D33" s="2" t="str">
        <f t="shared" si="2"/>
        <v/>
      </c>
    </row>
    <row r="34">
      <c r="D34" s="2" t="str">
        <f t="shared" si="2"/>
        <v/>
      </c>
    </row>
    <row r="35">
      <c r="D35" s="2" t="str">
        <f t="shared" si="2"/>
        <v/>
      </c>
    </row>
    <row r="36">
      <c r="D36" s="2" t="str">
        <f t="shared" si="2"/>
        <v/>
      </c>
    </row>
    <row r="37">
      <c r="D37" s="2" t="str">
        <f t="shared" si="2"/>
        <v/>
      </c>
    </row>
    <row r="38">
      <c r="D38" s="2" t="str">
        <f t="shared" si="2"/>
        <v/>
      </c>
    </row>
    <row r="39">
      <c r="D39" s="2" t="str">
        <f t="shared" si="2"/>
        <v/>
      </c>
    </row>
    <row r="40">
      <c r="D40" s="2" t="str">
        <f t="shared" si="2"/>
        <v/>
      </c>
    </row>
    <row r="41">
      <c r="D41" s="2" t="str">
        <f t="shared" si="2"/>
        <v/>
      </c>
    </row>
    <row r="42">
      <c r="D42" s="2" t="str">
        <f t="shared" si="2"/>
        <v/>
      </c>
    </row>
    <row r="43">
      <c r="D43" s="2" t="str">
        <f t="shared" si="2"/>
        <v/>
      </c>
    </row>
    <row r="44">
      <c r="D44" s="2" t="str">
        <f t="shared" si="2"/>
        <v/>
      </c>
    </row>
    <row r="45">
      <c r="D45" s="2" t="str">
        <f t="shared" si="2"/>
        <v/>
      </c>
    </row>
    <row r="46">
      <c r="D46" s="2" t="str">
        <f t="shared" si="2"/>
        <v/>
      </c>
    </row>
    <row r="47">
      <c r="D47" s="2" t="str">
        <f t="shared" si="2"/>
        <v/>
      </c>
    </row>
    <row r="48">
      <c r="D48" s="2" t="str">
        <f t="shared" si="2"/>
        <v/>
      </c>
    </row>
    <row r="49">
      <c r="D49" s="2" t="str">
        <f t="shared" si="2"/>
        <v/>
      </c>
    </row>
    <row r="50">
      <c r="D50" s="2" t="str">
        <f t="shared" si="2"/>
        <v/>
      </c>
    </row>
    <row r="51">
      <c r="D51" s="2" t="str">
        <f t="shared" si="2"/>
        <v/>
      </c>
    </row>
    <row r="52">
      <c r="D52" s="2" t="str">
        <f t="shared" si="2"/>
        <v/>
      </c>
    </row>
    <row r="53">
      <c r="D53" s="2" t="str">
        <f t="shared" si="2"/>
        <v/>
      </c>
    </row>
    <row r="54">
      <c r="D54" s="2" t="str">
        <f t="shared" si="2"/>
        <v/>
      </c>
    </row>
    <row r="55">
      <c r="D55" s="2" t="str">
        <f t="shared" si="2"/>
        <v/>
      </c>
    </row>
    <row r="56">
      <c r="D56" s="2" t="str">
        <f t="shared" si="2"/>
        <v/>
      </c>
    </row>
    <row r="57">
      <c r="D57" s="2" t="str">
        <f t="shared" si="2"/>
        <v/>
      </c>
    </row>
    <row r="58">
      <c r="D58" s="2" t="str">
        <f t="shared" si="2"/>
        <v/>
      </c>
    </row>
    <row r="59">
      <c r="D59" s="2" t="str">
        <f t="shared" si="2"/>
        <v/>
      </c>
    </row>
    <row r="60">
      <c r="D60" s="2" t="str">
        <f t="shared" si="2"/>
        <v/>
      </c>
    </row>
    <row r="61">
      <c r="D61" s="2" t="str">
        <f t="shared" si="2"/>
        <v/>
      </c>
    </row>
    <row r="62">
      <c r="D62" s="2" t="str">
        <f t="shared" si="2"/>
        <v/>
      </c>
    </row>
    <row r="63">
      <c r="D63" s="2" t="str">
        <f t="shared" si="2"/>
        <v/>
      </c>
    </row>
    <row r="64">
      <c r="D64" s="2" t="str">
        <f t="shared" si="2"/>
        <v/>
      </c>
    </row>
    <row r="65">
      <c r="D65" s="2" t="str">
        <f t="shared" si="2"/>
        <v/>
      </c>
    </row>
    <row r="66">
      <c r="D66" s="2" t="str">
        <f t="shared" si="2"/>
        <v/>
      </c>
    </row>
    <row r="67">
      <c r="D67" s="2" t="str">
        <f t="shared" si="2"/>
        <v/>
      </c>
    </row>
    <row r="68">
      <c r="D68" s="2" t="str">
        <f t="shared" si="2"/>
        <v/>
      </c>
    </row>
    <row r="69">
      <c r="D69" s="2" t="str">
        <f t="shared" si="2"/>
        <v/>
      </c>
    </row>
    <row r="70">
      <c r="D70" s="2" t="str">
        <f t="shared" si="2"/>
        <v/>
      </c>
    </row>
    <row r="71">
      <c r="D71" s="2" t="str">
        <f t="shared" si="2"/>
        <v/>
      </c>
    </row>
    <row r="72">
      <c r="D72" s="2" t="str">
        <f t="shared" si="2"/>
        <v/>
      </c>
    </row>
    <row r="73">
      <c r="D73" s="2" t="str">
        <f t="shared" si="2"/>
        <v/>
      </c>
    </row>
    <row r="74">
      <c r="D74" s="2" t="str">
        <f t="shared" si="2"/>
        <v/>
      </c>
    </row>
    <row r="75">
      <c r="D75" s="2" t="str">
        <f t="shared" si="2"/>
        <v/>
      </c>
    </row>
    <row r="76">
      <c r="D76" s="2" t="str">
        <f t="shared" si="2"/>
        <v/>
      </c>
    </row>
    <row r="77">
      <c r="D77" s="2" t="str">
        <f t="shared" si="2"/>
        <v/>
      </c>
    </row>
    <row r="78">
      <c r="D78" s="2" t="str">
        <f t="shared" si="2"/>
        <v/>
      </c>
    </row>
    <row r="79">
      <c r="D79" s="2" t="str">
        <f t="shared" si="2"/>
        <v/>
      </c>
    </row>
    <row r="80">
      <c r="D80" s="2" t="str">
        <f t="shared" si="2"/>
        <v/>
      </c>
    </row>
    <row r="81">
      <c r="D81" s="2" t="str">
        <f t="shared" si="2"/>
        <v/>
      </c>
    </row>
    <row r="82">
      <c r="D82" s="2" t="str">
        <f t="shared" si="2"/>
        <v/>
      </c>
    </row>
    <row r="83">
      <c r="D83" s="2" t="str">
        <f t="shared" si="2"/>
        <v/>
      </c>
    </row>
    <row r="84">
      <c r="D84" s="2" t="str">
        <f t="shared" si="2"/>
        <v/>
      </c>
    </row>
    <row r="85">
      <c r="D85" s="2" t="str">
        <f t="shared" si="2"/>
        <v/>
      </c>
    </row>
    <row r="86">
      <c r="D86" s="2" t="str">
        <f t="shared" si="2"/>
        <v/>
      </c>
    </row>
    <row r="87">
      <c r="D87" s="2" t="str">
        <f t="shared" si="2"/>
        <v/>
      </c>
    </row>
    <row r="88">
      <c r="D88" s="2" t="str">
        <f t="shared" si="2"/>
        <v/>
      </c>
    </row>
    <row r="89">
      <c r="D89" s="2" t="str">
        <f t="shared" si="2"/>
        <v/>
      </c>
    </row>
    <row r="90">
      <c r="D90" s="2" t="str">
        <f t="shared" si="2"/>
        <v/>
      </c>
    </row>
    <row r="91">
      <c r="D91" s="2" t="str">
        <f t="shared" si="2"/>
        <v/>
      </c>
    </row>
    <row r="92">
      <c r="D92" s="2" t="str">
        <f t="shared" si="2"/>
        <v/>
      </c>
    </row>
    <row r="93">
      <c r="D93" s="2" t="str">
        <f t="shared" si="2"/>
        <v/>
      </c>
    </row>
    <row r="94">
      <c r="D94" s="2" t="str">
        <f t="shared" si="2"/>
        <v/>
      </c>
    </row>
    <row r="95">
      <c r="D95" s="2" t="str">
        <f t="shared" si="2"/>
        <v/>
      </c>
    </row>
    <row r="96">
      <c r="D96" s="2" t="str">
        <f t="shared" si="2"/>
        <v/>
      </c>
    </row>
    <row r="97">
      <c r="D97" s="2" t="str">
        <f t="shared" si="2"/>
        <v/>
      </c>
    </row>
    <row r="98">
      <c r="D98" s="2" t="str">
        <f t="shared" si="2"/>
        <v/>
      </c>
    </row>
    <row r="99">
      <c r="D99" s="2" t="str">
        <f t="shared" si="2"/>
        <v/>
      </c>
    </row>
    <row r="100">
      <c r="D100" s="2" t="str">
        <f t="shared" si="2"/>
        <v/>
      </c>
    </row>
    <row r="101">
      <c r="D101" s="2" t="str">
        <f t="shared" si="2"/>
        <v/>
      </c>
    </row>
    <row r="102">
      <c r="D102" s="2" t="str">
        <f t="shared" si="2"/>
        <v/>
      </c>
    </row>
    <row r="103">
      <c r="D103" s="2" t="str">
        <f t="shared" si="2"/>
        <v/>
      </c>
    </row>
    <row r="104">
      <c r="D104" s="2" t="str">
        <f t="shared" si="2"/>
        <v/>
      </c>
    </row>
    <row r="105">
      <c r="D105" s="2" t="str">
        <f t="shared" si="2"/>
        <v/>
      </c>
    </row>
    <row r="106">
      <c r="D106" s="2" t="str">
        <f t="shared" si="2"/>
        <v/>
      </c>
    </row>
    <row r="107">
      <c r="D107" s="2" t="str">
        <f t="shared" si="2"/>
        <v/>
      </c>
    </row>
    <row r="108">
      <c r="D108" s="2" t="str">
        <f t="shared" si="2"/>
        <v/>
      </c>
    </row>
    <row r="109">
      <c r="D109" s="2" t="str">
        <f t="shared" si="2"/>
        <v/>
      </c>
    </row>
    <row r="110">
      <c r="D110" s="2" t="str">
        <f t="shared" si="2"/>
        <v/>
      </c>
    </row>
    <row r="111">
      <c r="D111" s="2" t="str">
        <f t="shared" si="2"/>
        <v/>
      </c>
    </row>
    <row r="112">
      <c r="D112" s="2" t="str">
        <f t="shared" si="2"/>
        <v/>
      </c>
    </row>
    <row r="113">
      <c r="D113" s="2" t="str">
        <f t="shared" si="2"/>
        <v/>
      </c>
    </row>
    <row r="114">
      <c r="D114" s="2" t="str">
        <f t="shared" si="2"/>
        <v/>
      </c>
    </row>
    <row r="115">
      <c r="D115" s="2" t="str">
        <f t="shared" si="2"/>
        <v/>
      </c>
    </row>
    <row r="116">
      <c r="D116" s="2" t="str">
        <f t="shared" si="2"/>
        <v/>
      </c>
    </row>
    <row r="117">
      <c r="D117" s="2" t="str">
        <f t="shared" si="2"/>
        <v/>
      </c>
    </row>
    <row r="118">
      <c r="D118" s="2" t="str">
        <f t="shared" si="2"/>
        <v/>
      </c>
    </row>
    <row r="119">
      <c r="D119" s="2" t="str">
        <f t="shared" si="2"/>
        <v/>
      </c>
    </row>
    <row r="120">
      <c r="D120" s="2" t="str">
        <f t="shared" si="2"/>
        <v/>
      </c>
    </row>
    <row r="121">
      <c r="D121" s="2" t="str">
        <f t="shared" si="2"/>
        <v/>
      </c>
    </row>
    <row r="122">
      <c r="D122" s="2" t="str">
        <f t="shared" si="2"/>
        <v/>
      </c>
    </row>
    <row r="123">
      <c r="D123" s="2" t="str">
        <f t="shared" si="2"/>
        <v/>
      </c>
    </row>
    <row r="124">
      <c r="D124" s="2" t="str">
        <f t="shared" si="2"/>
        <v/>
      </c>
    </row>
    <row r="125">
      <c r="D125" s="2" t="str">
        <f t="shared" si="2"/>
        <v/>
      </c>
    </row>
    <row r="126">
      <c r="D126" s="2" t="str">
        <f t="shared" si="2"/>
        <v/>
      </c>
    </row>
    <row r="127">
      <c r="D127" s="2" t="str">
        <f t="shared" si="2"/>
        <v/>
      </c>
    </row>
    <row r="128">
      <c r="D128" s="2" t="str">
        <f t="shared" si="2"/>
        <v/>
      </c>
    </row>
    <row r="129">
      <c r="D129" s="2" t="str">
        <f t="shared" si="2"/>
        <v/>
      </c>
    </row>
    <row r="130">
      <c r="D130" s="2" t="str">
        <f t="shared" si="2"/>
        <v/>
      </c>
    </row>
    <row r="131">
      <c r="D131" s="2" t="str">
        <f t="shared" si="2"/>
        <v/>
      </c>
    </row>
    <row r="132">
      <c r="D132" s="2" t="str">
        <f t="shared" si="2"/>
        <v/>
      </c>
    </row>
    <row r="133">
      <c r="D133" s="2" t="str">
        <f t="shared" si="2"/>
        <v/>
      </c>
    </row>
    <row r="134">
      <c r="D134" s="2" t="str">
        <f t="shared" si="2"/>
        <v/>
      </c>
    </row>
    <row r="135">
      <c r="D135" s="2" t="str">
        <f t="shared" si="2"/>
        <v/>
      </c>
    </row>
    <row r="136">
      <c r="D136" s="2" t="str">
        <f t="shared" si="2"/>
        <v/>
      </c>
    </row>
    <row r="137">
      <c r="D137" s="2" t="str">
        <f t="shared" si="2"/>
        <v/>
      </c>
    </row>
    <row r="138">
      <c r="D138" s="2" t="str">
        <f t="shared" si="2"/>
        <v/>
      </c>
    </row>
    <row r="139">
      <c r="D139" s="2" t="str">
        <f t="shared" si="2"/>
        <v/>
      </c>
    </row>
    <row r="140">
      <c r="D140" s="2" t="str">
        <f t="shared" si="2"/>
        <v/>
      </c>
    </row>
    <row r="141">
      <c r="D141" s="2" t="str">
        <f t="shared" si="2"/>
        <v/>
      </c>
    </row>
    <row r="142">
      <c r="D142" s="2" t="str">
        <f t="shared" si="2"/>
        <v/>
      </c>
    </row>
    <row r="143">
      <c r="D143" s="2" t="str">
        <f t="shared" si="2"/>
        <v/>
      </c>
    </row>
    <row r="144">
      <c r="D144" s="2" t="str">
        <f t="shared" si="2"/>
        <v/>
      </c>
    </row>
    <row r="145">
      <c r="D145" s="2" t="str">
        <f t="shared" si="2"/>
        <v/>
      </c>
    </row>
    <row r="146">
      <c r="D146" s="2" t="str">
        <f t="shared" si="2"/>
        <v/>
      </c>
    </row>
    <row r="147">
      <c r="D147" s="2" t="str">
        <f t="shared" si="2"/>
        <v/>
      </c>
    </row>
    <row r="148">
      <c r="D148" s="2" t="str">
        <f t="shared" si="2"/>
        <v/>
      </c>
    </row>
    <row r="149">
      <c r="D149" s="2" t="str">
        <f t="shared" si="2"/>
        <v/>
      </c>
    </row>
    <row r="150">
      <c r="D150" s="2" t="str">
        <f t="shared" si="2"/>
        <v/>
      </c>
    </row>
    <row r="151">
      <c r="D151" s="2" t="str">
        <f t="shared" si="2"/>
        <v/>
      </c>
    </row>
    <row r="152">
      <c r="D152" s="2" t="str">
        <f t="shared" si="2"/>
        <v/>
      </c>
    </row>
    <row r="153">
      <c r="D153" s="2" t="str">
        <f t="shared" si="2"/>
        <v/>
      </c>
    </row>
    <row r="154">
      <c r="D154" s="2" t="str">
        <f t="shared" si="2"/>
        <v/>
      </c>
    </row>
    <row r="155">
      <c r="D155" s="2" t="str">
        <f t="shared" si="2"/>
        <v/>
      </c>
    </row>
    <row r="156">
      <c r="D156" s="2" t="str">
        <f t="shared" si="2"/>
        <v/>
      </c>
    </row>
    <row r="157">
      <c r="D157" s="2" t="str">
        <f t="shared" si="2"/>
        <v/>
      </c>
    </row>
    <row r="158">
      <c r="D158" s="2" t="str">
        <f t="shared" si="2"/>
        <v/>
      </c>
    </row>
    <row r="159">
      <c r="D159" s="2" t="str">
        <f t="shared" si="2"/>
        <v/>
      </c>
    </row>
    <row r="160">
      <c r="D160" s="2" t="str">
        <f t="shared" si="2"/>
        <v/>
      </c>
    </row>
    <row r="161">
      <c r="D161" s="2" t="str">
        <f t="shared" si="2"/>
        <v/>
      </c>
    </row>
    <row r="162">
      <c r="D162" s="2" t="str">
        <f t="shared" si="2"/>
        <v/>
      </c>
    </row>
    <row r="163">
      <c r="D163" s="2" t="str">
        <f t="shared" si="2"/>
        <v/>
      </c>
    </row>
    <row r="164">
      <c r="D164" s="2" t="str">
        <f t="shared" si="2"/>
        <v/>
      </c>
    </row>
    <row r="165">
      <c r="D165" s="2" t="str">
        <f t="shared" si="2"/>
        <v/>
      </c>
    </row>
    <row r="166">
      <c r="D166" s="2" t="str">
        <f t="shared" si="2"/>
        <v/>
      </c>
    </row>
    <row r="167">
      <c r="D167" s="2" t="str">
        <f t="shared" si="2"/>
        <v/>
      </c>
    </row>
    <row r="168">
      <c r="D168" s="2" t="str">
        <f t="shared" si="2"/>
        <v/>
      </c>
    </row>
    <row r="169">
      <c r="D169" s="2" t="str">
        <f t="shared" si="2"/>
        <v/>
      </c>
    </row>
    <row r="170">
      <c r="D170" s="2" t="str">
        <f t="shared" si="2"/>
        <v/>
      </c>
    </row>
    <row r="171">
      <c r="D171" s="2" t="str">
        <f t="shared" si="2"/>
        <v/>
      </c>
    </row>
    <row r="172">
      <c r="D172" s="2" t="str">
        <f t="shared" si="2"/>
        <v/>
      </c>
    </row>
    <row r="173">
      <c r="D173" s="2" t="str">
        <f t="shared" si="2"/>
        <v/>
      </c>
    </row>
    <row r="174">
      <c r="D174" s="2" t="str">
        <f t="shared" si="2"/>
        <v/>
      </c>
    </row>
    <row r="175">
      <c r="D175" s="2" t="str">
        <f t="shared" si="2"/>
        <v/>
      </c>
    </row>
    <row r="176">
      <c r="D176" s="2" t="str">
        <f t="shared" si="2"/>
        <v/>
      </c>
    </row>
    <row r="177">
      <c r="D177" s="2" t="str">
        <f t="shared" si="2"/>
        <v/>
      </c>
    </row>
    <row r="178">
      <c r="D178" s="2" t="str">
        <f t="shared" si="2"/>
        <v/>
      </c>
    </row>
    <row r="179">
      <c r="D179" s="2" t="str">
        <f t="shared" si="2"/>
        <v/>
      </c>
    </row>
    <row r="180">
      <c r="D180" s="2" t="str">
        <f t="shared" si="2"/>
        <v/>
      </c>
    </row>
    <row r="181">
      <c r="D181" s="2" t="str">
        <f t="shared" si="2"/>
        <v/>
      </c>
    </row>
    <row r="182">
      <c r="D182" s="2" t="str">
        <f t="shared" si="2"/>
        <v/>
      </c>
    </row>
    <row r="183">
      <c r="D183" s="2" t="str">
        <f t="shared" si="2"/>
        <v/>
      </c>
    </row>
    <row r="184">
      <c r="D184" s="2" t="str">
        <f t="shared" si="2"/>
        <v/>
      </c>
    </row>
    <row r="185">
      <c r="D185" s="2" t="str">
        <f t="shared" si="2"/>
        <v/>
      </c>
    </row>
    <row r="186">
      <c r="D186" s="2" t="str">
        <f t="shared" si="2"/>
        <v/>
      </c>
    </row>
    <row r="187">
      <c r="D187" s="2" t="str">
        <f t="shared" si="2"/>
        <v/>
      </c>
    </row>
    <row r="188">
      <c r="D188" s="2" t="str">
        <f t="shared" si="2"/>
        <v/>
      </c>
    </row>
    <row r="189">
      <c r="D189" s="2" t="str">
        <f t="shared" si="2"/>
        <v/>
      </c>
    </row>
    <row r="190">
      <c r="D190" s="2" t="str">
        <f t="shared" si="2"/>
        <v/>
      </c>
    </row>
    <row r="191">
      <c r="D191" s="2" t="str">
        <f t="shared" si="2"/>
        <v/>
      </c>
    </row>
    <row r="192">
      <c r="D192" s="2" t="str">
        <f t="shared" si="2"/>
        <v/>
      </c>
    </row>
    <row r="193">
      <c r="D193" s="2" t="str">
        <f t="shared" si="2"/>
        <v/>
      </c>
    </row>
    <row r="194">
      <c r="D194" s="2" t="str">
        <f t="shared" si="2"/>
        <v/>
      </c>
    </row>
    <row r="195">
      <c r="D195" s="2" t="str">
        <f t="shared" si="2"/>
        <v/>
      </c>
    </row>
    <row r="196">
      <c r="D196" s="2" t="str">
        <f t="shared" si="2"/>
        <v/>
      </c>
    </row>
    <row r="197">
      <c r="D197" s="2" t="str">
        <f t="shared" si="2"/>
        <v/>
      </c>
    </row>
    <row r="198">
      <c r="D198" s="2" t="str">
        <f t="shared" si="2"/>
        <v/>
      </c>
    </row>
    <row r="199">
      <c r="D199" s="2" t="str">
        <f t="shared" si="2"/>
        <v/>
      </c>
    </row>
    <row r="200">
      <c r="D200" s="2" t="str">
        <f t="shared" si="2"/>
        <v/>
      </c>
    </row>
    <row r="201">
      <c r="D201" s="2" t="str">
        <f t="shared" si="2"/>
        <v/>
      </c>
    </row>
    <row r="202">
      <c r="D202" s="2" t="str">
        <f t="shared" si="2"/>
        <v/>
      </c>
    </row>
    <row r="203">
      <c r="D203" s="2" t="str">
        <f t="shared" si="2"/>
        <v/>
      </c>
    </row>
    <row r="204">
      <c r="D204" s="2" t="str">
        <f t="shared" si="2"/>
        <v/>
      </c>
    </row>
    <row r="205">
      <c r="D205" s="2" t="str">
        <f t="shared" si="2"/>
        <v/>
      </c>
    </row>
    <row r="206">
      <c r="D206" s="2" t="str">
        <f t="shared" si="2"/>
        <v/>
      </c>
    </row>
    <row r="207">
      <c r="D207" s="2" t="str">
        <f t="shared" si="2"/>
        <v/>
      </c>
    </row>
    <row r="208">
      <c r="D208" s="2" t="str">
        <f t="shared" si="2"/>
        <v/>
      </c>
    </row>
    <row r="209">
      <c r="D209" s="2" t="str">
        <f t="shared" si="2"/>
        <v/>
      </c>
    </row>
    <row r="210">
      <c r="D210" s="2" t="str">
        <f t="shared" si="2"/>
        <v/>
      </c>
    </row>
    <row r="211">
      <c r="D211" s="2" t="str">
        <f t="shared" si="2"/>
        <v/>
      </c>
    </row>
    <row r="212">
      <c r="D212" s="2" t="str">
        <f t="shared" si="2"/>
        <v/>
      </c>
    </row>
    <row r="213">
      <c r="D213" s="2" t="str">
        <f t="shared" si="2"/>
        <v/>
      </c>
    </row>
    <row r="214">
      <c r="D214" s="2" t="str">
        <f t="shared" si="2"/>
        <v/>
      </c>
    </row>
    <row r="215">
      <c r="D215" s="2" t="str">
        <f t="shared" si="2"/>
        <v/>
      </c>
    </row>
    <row r="216">
      <c r="D216" s="2" t="str">
        <f t="shared" si="2"/>
        <v/>
      </c>
    </row>
    <row r="217">
      <c r="D217" s="2" t="str">
        <f t="shared" si="2"/>
        <v/>
      </c>
    </row>
    <row r="218">
      <c r="D218" s="2" t="str">
        <f t="shared" si="2"/>
        <v/>
      </c>
    </row>
    <row r="219">
      <c r="D219" s="2" t="str">
        <f t="shared" si="2"/>
        <v/>
      </c>
    </row>
    <row r="220">
      <c r="D220" s="2" t="str">
        <f t="shared" si="2"/>
        <v/>
      </c>
    </row>
    <row r="221">
      <c r="D221" s="2" t="str">
        <f t="shared" si="2"/>
        <v/>
      </c>
    </row>
    <row r="222">
      <c r="D222" s="2" t="str">
        <f t="shared" si="2"/>
        <v/>
      </c>
    </row>
    <row r="223">
      <c r="D223" s="2" t="str">
        <f t="shared" si="2"/>
        <v/>
      </c>
    </row>
    <row r="224">
      <c r="D224" s="2" t="str">
        <f t="shared" si="2"/>
        <v/>
      </c>
    </row>
    <row r="225">
      <c r="D225" s="2" t="str">
        <f t="shared" si="2"/>
        <v/>
      </c>
    </row>
    <row r="226">
      <c r="D226" s="2" t="str">
        <f t="shared" si="2"/>
        <v/>
      </c>
    </row>
    <row r="227">
      <c r="D227" s="2" t="str">
        <f t="shared" si="2"/>
        <v/>
      </c>
    </row>
    <row r="228">
      <c r="D228" s="2" t="str">
        <f t="shared" si="2"/>
        <v/>
      </c>
    </row>
    <row r="229">
      <c r="D229" s="2" t="str">
        <f t="shared" si="2"/>
        <v/>
      </c>
    </row>
    <row r="230">
      <c r="D230" s="2" t="str">
        <f t="shared" si="2"/>
        <v/>
      </c>
    </row>
    <row r="231">
      <c r="D231" s="2" t="str">
        <f t="shared" si="2"/>
        <v/>
      </c>
    </row>
    <row r="232">
      <c r="D232" s="2" t="str">
        <f t="shared" si="2"/>
        <v/>
      </c>
    </row>
    <row r="233">
      <c r="D233" s="2" t="str">
        <f t="shared" si="2"/>
        <v/>
      </c>
    </row>
    <row r="234">
      <c r="D234" s="2" t="str">
        <f t="shared" si="2"/>
        <v/>
      </c>
    </row>
    <row r="235">
      <c r="D235" s="2" t="str">
        <f t="shared" si="2"/>
        <v/>
      </c>
    </row>
    <row r="236">
      <c r="D236" s="2" t="str">
        <f t="shared" si="2"/>
        <v/>
      </c>
    </row>
    <row r="237">
      <c r="D237" s="2" t="str">
        <f t="shared" si="2"/>
        <v/>
      </c>
    </row>
    <row r="238">
      <c r="D238" s="2" t="str">
        <f t="shared" si="2"/>
        <v/>
      </c>
    </row>
    <row r="239">
      <c r="D239" s="2" t="str">
        <f t="shared" si="2"/>
        <v/>
      </c>
    </row>
    <row r="240">
      <c r="D240" s="2" t="str">
        <f t="shared" si="2"/>
        <v/>
      </c>
    </row>
    <row r="241">
      <c r="D241" s="2" t="str">
        <f t="shared" si="2"/>
        <v/>
      </c>
    </row>
    <row r="242">
      <c r="D242" s="2" t="str">
        <f t="shared" si="2"/>
        <v/>
      </c>
    </row>
    <row r="243">
      <c r="D243" s="2" t="str">
        <f t="shared" si="2"/>
        <v/>
      </c>
    </row>
    <row r="244">
      <c r="D244" s="2" t="str">
        <f t="shared" si="2"/>
        <v/>
      </c>
    </row>
    <row r="245">
      <c r="D245" s="2" t="str">
        <f t="shared" si="2"/>
        <v/>
      </c>
    </row>
    <row r="246">
      <c r="D246" s="2" t="str">
        <f t="shared" si="2"/>
        <v/>
      </c>
    </row>
    <row r="247">
      <c r="D247" s="2" t="str">
        <f t="shared" si="2"/>
        <v/>
      </c>
    </row>
    <row r="248">
      <c r="D248" s="2" t="str">
        <f t="shared" si="2"/>
        <v/>
      </c>
    </row>
    <row r="249">
      <c r="D249" s="2" t="str">
        <f t="shared" si="2"/>
        <v/>
      </c>
    </row>
    <row r="250">
      <c r="D250" s="2" t="str">
        <f t="shared" si="2"/>
        <v/>
      </c>
    </row>
    <row r="251">
      <c r="D251" s="2" t="str">
        <f t="shared" si="2"/>
        <v/>
      </c>
    </row>
    <row r="252">
      <c r="D252" s="2" t="str">
        <f t="shared" si="2"/>
        <v/>
      </c>
    </row>
    <row r="253">
      <c r="D253" s="2" t="str">
        <f t="shared" si="2"/>
        <v/>
      </c>
    </row>
    <row r="254">
      <c r="D254" s="2" t="str">
        <f t="shared" si="2"/>
        <v/>
      </c>
    </row>
    <row r="255">
      <c r="D255" s="2" t="str">
        <f t="shared" si="2"/>
        <v/>
      </c>
    </row>
    <row r="256">
      <c r="D256" s="2" t="str">
        <f t="shared" si="2"/>
        <v/>
      </c>
    </row>
    <row r="257">
      <c r="D257" s="2" t="str">
        <f t="shared" si="2"/>
        <v/>
      </c>
    </row>
    <row r="258">
      <c r="D258" s="2" t="str">
        <f t="shared" si="2"/>
        <v/>
      </c>
    </row>
    <row r="259">
      <c r="D259" s="2" t="str">
        <f t="shared" si="2"/>
        <v/>
      </c>
    </row>
    <row r="260">
      <c r="D260" s="2" t="str">
        <f t="shared" si="2"/>
        <v/>
      </c>
    </row>
    <row r="261">
      <c r="D261" s="2" t="str">
        <f t="shared" si="2"/>
        <v/>
      </c>
    </row>
    <row r="262">
      <c r="D262" s="2" t="str">
        <f t="shared" si="2"/>
        <v/>
      </c>
    </row>
    <row r="263">
      <c r="D263" s="2" t="str">
        <f t="shared" si="2"/>
        <v/>
      </c>
    </row>
    <row r="264">
      <c r="D264" s="2" t="str">
        <f t="shared" si="2"/>
        <v/>
      </c>
    </row>
    <row r="265">
      <c r="D265" s="2" t="str">
        <f t="shared" si="2"/>
        <v/>
      </c>
    </row>
    <row r="266">
      <c r="D266" s="2" t="str">
        <f t="shared" si="2"/>
        <v/>
      </c>
    </row>
    <row r="267">
      <c r="D267" s="2" t="str">
        <f t="shared" si="2"/>
        <v/>
      </c>
    </row>
    <row r="268">
      <c r="D268" s="2" t="str">
        <f t="shared" si="2"/>
        <v/>
      </c>
    </row>
    <row r="269">
      <c r="D269" s="2" t="str">
        <f t="shared" si="2"/>
        <v/>
      </c>
    </row>
    <row r="270">
      <c r="D270" s="2" t="str">
        <f t="shared" si="2"/>
        <v/>
      </c>
    </row>
    <row r="271">
      <c r="D271" s="2" t="str">
        <f t="shared" si="2"/>
        <v/>
      </c>
    </row>
    <row r="272">
      <c r="D272" s="2" t="str">
        <f t="shared" si="2"/>
        <v/>
      </c>
    </row>
    <row r="273">
      <c r="D273" s="2" t="str">
        <f t="shared" si="2"/>
        <v/>
      </c>
    </row>
    <row r="274">
      <c r="D274" s="2" t="str">
        <f t="shared" si="2"/>
        <v/>
      </c>
    </row>
    <row r="275">
      <c r="D275" s="2" t="str">
        <f t="shared" si="2"/>
        <v/>
      </c>
    </row>
    <row r="276">
      <c r="D276" s="2" t="str">
        <f t="shared" si="2"/>
        <v/>
      </c>
    </row>
    <row r="277">
      <c r="D277" s="2" t="str">
        <f t="shared" si="2"/>
        <v/>
      </c>
    </row>
    <row r="278">
      <c r="D278" s="2" t="str">
        <f t="shared" si="2"/>
        <v/>
      </c>
    </row>
    <row r="279">
      <c r="D279" s="2" t="str">
        <f t="shared" si="2"/>
        <v/>
      </c>
    </row>
    <row r="280">
      <c r="D280" s="2" t="str">
        <f t="shared" si="2"/>
        <v/>
      </c>
    </row>
    <row r="281">
      <c r="D281" s="2" t="str">
        <f t="shared" si="2"/>
        <v/>
      </c>
    </row>
    <row r="282">
      <c r="D282" s="2" t="str">
        <f t="shared" si="2"/>
        <v/>
      </c>
    </row>
    <row r="283">
      <c r="D283" s="2" t="str">
        <f t="shared" si="2"/>
        <v/>
      </c>
    </row>
    <row r="284">
      <c r="D284" s="2" t="str">
        <f t="shared" si="2"/>
        <v/>
      </c>
    </row>
    <row r="285">
      <c r="D285" s="2" t="str">
        <f t="shared" si="2"/>
        <v/>
      </c>
    </row>
    <row r="286">
      <c r="D286" s="2" t="str">
        <f t="shared" si="2"/>
        <v/>
      </c>
    </row>
    <row r="287">
      <c r="D287" s="2" t="str">
        <f t="shared" si="2"/>
        <v/>
      </c>
    </row>
    <row r="288">
      <c r="D288" s="2" t="str">
        <f t="shared" si="2"/>
        <v/>
      </c>
    </row>
    <row r="289">
      <c r="D289" s="2" t="str">
        <f t="shared" si="2"/>
        <v/>
      </c>
    </row>
    <row r="290">
      <c r="D290" s="2" t="str">
        <f t="shared" si="2"/>
        <v/>
      </c>
    </row>
    <row r="291">
      <c r="D291" s="2" t="str">
        <f t="shared" si="2"/>
        <v/>
      </c>
    </row>
    <row r="292">
      <c r="D292" s="2" t="str">
        <f t="shared" si="2"/>
        <v/>
      </c>
    </row>
    <row r="293">
      <c r="D293" s="2" t="str">
        <f t="shared" si="2"/>
        <v/>
      </c>
    </row>
    <row r="294">
      <c r="D294" s="2" t="str">
        <f t="shared" si="2"/>
        <v/>
      </c>
    </row>
    <row r="295">
      <c r="D295" s="2" t="str">
        <f t="shared" si="2"/>
        <v/>
      </c>
    </row>
    <row r="296">
      <c r="D296" s="2" t="str">
        <f t="shared" si="2"/>
        <v/>
      </c>
    </row>
    <row r="297">
      <c r="D297" s="2" t="str">
        <f t="shared" si="2"/>
        <v/>
      </c>
    </row>
    <row r="298">
      <c r="D298" s="2" t="str">
        <f t="shared" si="2"/>
        <v/>
      </c>
    </row>
    <row r="299">
      <c r="D299" s="2" t="str">
        <f t="shared" si="2"/>
        <v/>
      </c>
    </row>
    <row r="300">
      <c r="D300" s="2" t="str">
        <f t="shared" si="2"/>
        <v/>
      </c>
    </row>
    <row r="301">
      <c r="D301" s="2" t="str">
        <f t="shared" si="2"/>
        <v/>
      </c>
    </row>
    <row r="302">
      <c r="D302" s="2" t="str">
        <f t="shared" si="2"/>
        <v/>
      </c>
    </row>
    <row r="303">
      <c r="D303" s="2" t="str">
        <f t="shared" si="2"/>
        <v/>
      </c>
    </row>
    <row r="304">
      <c r="D304" s="2" t="str">
        <f t="shared" si="2"/>
        <v/>
      </c>
    </row>
    <row r="305">
      <c r="D305" s="2" t="str">
        <f t="shared" si="2"/>
        <v/>
      </c>
    </row>
    <row r="306">
      <c r="D306" s="2" t="str">
        <f t="shared" si="2"/>
        <v/>
      </c>
    </row>
    <row r="307">
      <c r="D307" s="2" t="str">
        <f t="shared" si="2"/>
        <v/>
      </c>
    </row>
    <row r="308">
      <c r="D308" s="2" t="str">
        <f t="shared" si="2"/>
        <v/>
      </c>
    </row>
    <row r="309">
      <c r="D309" s="2" t="str">
        <f t="shared" si="2"/>
        <v/>
      </c>
    </row>
    <row r="310">
      <c r="D310" s="2" t="str">
        <f t="shared" si="2"/>
        <v/>
      </c>
    </row>
    <row r="311">
      <c r="D311" s="2" t="str">
        <f t="shared" si="2"/>
        <v/>
      </c>
    </row>
    <row r="312">
      <c r="D312" s="2" t="str">
        <f t="shared" si="2"/>
        <v/>
      </c>
    </row>
    <row r="313">
      <c r="D313" s="2" t="str">
        <f t="shared" si="2"/>
        <v/>
      </c>
    </row>
    <row r="314">
      <c r="D314" s="2" t="str">
        <f t="shared" si="2"/>
        <v/>
      </c>
    </row>
    <row r="315">
      <c r="D315" s="2" t="str">
        <f t="shared" si="2"/>
        <v/>
      </c>
    </row>
    <row r="316">
      <c r="D316" s="2" t="str">
        <f t="shared" si="2"/>
        <v/>
      </c>
    </row>
    <row r="317">
      <c r="D317" s="2" t="str">
        <f t="shared" si="2"/>
        <v/>
      </c>
    </row>
    <row r="318">
      <c r="D318" s="2" t="str">
        <f t="shared" si="2"/>
        <v/>
      </c>
    </row>
    <row r="319">
      <c r="D319" s="2" t="str">
        <f t="shared" si="2"/>
        <v/>
      </c>
    </row>
    <row r="320">
      <c r="D320" s="2" t="str">
        <f t="shared" si="2"/>
        <v/>
      </c>
    </row>
    <row r="321">
      <c r="D321" s="2" t="str">
        <f t="shared" si="2"/>
        <v/>
      </c>
    </row>
    <row r="322">
      <c r="D322" s="2" t="str">
        <f t="shared" si="2"/>
        <v/>
      </c>
    </row>
    <row r="323">
      <c r="D323" s="2" t="str">
        <f t="shared" si="2"/>
        <v/>
      </c>
    </row>
    <row r="324">
      <c r="D324" s="2" t="str">
        <f t="shared" si="2"/>
        <v/>
      </c>
    </row>
    <row r="325">
      <c r="D325" s="2" t="str">
        <f t="shared" si="2"/>
        <v/>
      </c>
    </row>
    <row r="326">
      <c r="D326" s="2" t="str">
        <f t="shared" si="2"/>
        <v/>
      </c>
    </row>
    <row r="327">
      <c r="D327" s="2" t="str">
        <f t="shared" si="2"/>
        <v/>
      </c>
    </row>
    <row r="328">
      <c r="D328" s="2" t="str">
        <f t="shared" si="2"/>
        <v/>
      </c>
    </row>
    <row r="329">
      <c r="D329" s="2" t="str">
        <f t="shared" si="2"/>
        <v/>
      </c>
    </row>
    <row r="330">
      <c r="D330" s="2" t="str">
        <f t="shared" si="2"/>
        <v/>
      </c>
    </row>
    <row r="331">
      <c r="D331" s="2" t="str">
        <f t="shared" si="2"/>
        <v/>
      </c>
    </row>
    <row r="332">
      <c r="D332" s="2" t="str">
        <f t="shared" si="2"/>
        <v/>
      </c>
    </row>
    <row r="333">
      <c r="D333" s="2" t="str">
        <f t="shared" si="2"/>
        <v/>
      </c>
    </row>
    <row r="334">
      <c r="D334" s="2" t="str">
        <f t="shared" si="2"/>
        <v/>
      </c>
    </row>
    <row r="335">
      <c r="D335" s="2" t="str">
        <f t="shared" si="2"/>
        <v/>
      </c>
    </row>
    <row r="336">
      <c r="D336" s="2" t="str">
        <f t="shared" si="2"/>
        <v/>
      </c>
    </row>
    <row r="337">
      <c r="D337" s="2" t="str">
        <f t="shared" si="2"/>
        <v/>
      </c>
    </row>
    <row r="338">
      <c r="D338" s="2" t="str">
        <f t="shared" si="2"/>
        <v/>
      </c>
    </row>
    <row r="339">
      <c r="D339" s="2" t="str">
        <f t="shared" si="2"/>
        <v/>
      </c>
    </row>
    <row r="340">
      <c r="D340" s="2" t="str">
        <f t="shared" si="2"/>
        <v/>
      </c>
    </row>
    <row r="341">
      <c r="D341" s="2" t="str">
        <f t="shared" si="2"/>
        <v/>
      </c>
    </row>
    <row r="342">
      <c r="D342" s="2" t="str">
        <f t="shared" si="2"/>
        <v/>
      </c>
    </row>
    <row r="343">
      <c r="D343" s="2" t="str">
        <f t="shared" si="2"/>
        <v/>
      </c>
    </row>
    <row r="344">
      <c r="D344" s="2" t="str">
        <f t="shared" si="2"/>
        <v/>
      </c>
    </row>
    <row r="345">
      <c r="D345" s="2" t="str">
        <f t="shared" si="2"/>
        <v/>
      </c>
    </row>
    <row r="346">
      <c r="D346" s="2" t="str">
        <f t="shared" si="2"/>
        <v/>
      </c>
    </row>
    <row r="347">
      <c r="D347" s="2" t="str">
        <f t="shared" si="2"/>
        <v/>
      </c>
    </row>
    <row r="348">
      <c r="D348" s="2" t="str">
        <f t="shared" si="2"/>
        <v/>
      </c>
    </row>
    <row r="349">
      <c r="D349" s="2" t="str">
        <f t="shared" si="2"/>
        <v/>
      </c>
    </row>
    <row r="350">
      <c r="D350" s="2" t="str">
        <f t="shared" si="2"/>
        <v/>
      </c>
    </row>
    <row r="351">
      <c r="D351" s="2" t="str">
        <f t="shared" si="2"/>
        <v/>
      </c>
    </row>
    <row r="352">
      <c r="D352" s="2" t="str">
        <f t="shared" si="2"/>
        <v/>
      </c>
    </row>
    <row r="353">
      <c r="D353" s="2" t="str">
        <f t="shared" si="2"/>
        <v/>
      </c>
    </row>
    <row r="354">
      <c r="D354" s="2" t="str">
        <f t="shared" si="2"/>
        <v/>
      </c>
    </row>
    <row r="355">
      <c r="D355" s="2" t="str">
        <f t="shared" si="2"/>
        <v/>
      </c>
    </row>
    <row r="356">
      <c r="D356" s="2" t="str">
        <f t="shared" si="2"/>
        <v/>
      </c>
    </row>
    <row r="357">
      <c r="D357" s="2" t="str">
        <f t="shared" si="2"/>
        <v/>
      </c>
    </row>
    <row r="358">
      <c r="D358" s="2" t="str">
        <f t="shared" si="2"/>
        <v/>
      </c>
    </row>
    <row r="359">
      <c r="D359" s="2" t="str">
        <f t="shared" si="2"/>
        <v/>
      </c>
    </row>
    <row r="360">
      <c r="D360" s="2" t="str">
        <f t="shared" si="2"/>
        <v/>
      </c>
    </row>
    <row r="361">
      <c r="D361" s="2" t="str">
        <f t="shared" si="2"/>
        <v/>
      </c>
    </row>
    <row r="362">
      <c r="D362" s="2" t="str">
        <f t="shared" si="2"/>
        <v/>
      </c>
    </row>
    <row r="363">
      <c r="D363" s="2" t="str">
        <f t="shared" si="2"/>
        <v/>
      </c>
    </row>
    <row r="364">
      <c r="D364" s="2" t="str">
        <f t="shared" si="2"/>
        <v/>
      </c>
    </row>
    <row r="365">
      <c r="D365" s="2" t="str">
        <f t="shared" si="2"/>
        <v/>
      </c>
    </row>
    <row r="366">
      <c r="D366" s="2" t="str">
        <f t="shared" si="2"/>
        <v/>
      </c>
    </row>
    <row r="367">
      <c r="D367" s="2" t="str">
        <f t="shared" si="2"/>
        <v/>
      </c>
    </row>
    <row r="368">
      <c r="D368" s="2" t="str">
        <f t="shared" si="2"/>
        <v/>
      </c>
    </row>
    <row r="369">
      <c r="D369" s="2" t="str">
        <f t="shared" si="2"/>
        <v/>
      </c>
    </row>
    <row r="370">
      <c r="D370" s="2" t="str">
        <f t="shared" si="2"/>
        <v/>
      </c>
    </row>
    <row r="371">
      <c r="D371" s="2" t="str">
        <f t="shared" si="2"/>
        <v/>
      </c>
    </row>
    <row r="372">
      <c r="D372" s="2" t="str">
        <f t="shared" si="2"/>
        <v/>
      </c>
    </row>
    <row r="373">
      <c r="D373" s="2" t="str">
        <f t="shared" si="2"/>
        <v/>
      </c>
    </row>
    <row r="374">
      <c r="D374" s="2" t="str">
        <f t="shared" si="2"/>
        <v/>
      </c>
    </row>
    <row r="375">
      <c r="D375" s="2" t="str">
        <f t="shared" si="2"/>
        <v/>
      </c>
    </row>
    <row r="376">
      <c r="D376" s="2" t="str">
        <f t="shared" si="2"/>
        <v/>
      </c>
    </row>
    <row r="377">
      <c r="D377" s="2" t="str">
        <f t="shared" si="2"/>
        <v/>
      </c>
    </row>
    <row r="378">
      <c r="D378" s="2" t="str">
        <f t="shared" si="2"/>
        <v/>
      </c>
    </row>
    <row r="379">
      <c r="D379" s="2" t="str">
        <f t="shared" si="2"/>
        <v/>
      </c>
    </row>
    <row r="380">
      <c r="D380" s="2" t="str">
        <f t="shared" si="2"/>
        <v/>
      </c>
    </row>
    <row r="381">
      <c r="D381" s="2" t="str">
        <f t="shared" si="2"/>
        <v/>
      </c>
    </row>
    <row r="382">
      <c r="D382" s="2" t="str">
        <f t="shared" si="2"/>
        <v/>
      </c>
    </row>
    <row r="383">
      <c r="D383" s="2" t="str">
        <f t="shared" si="2"/>
        <v/>
      </c>
    </row>
    <row r="384">
      <c r="D384" s="2" t="str">
        <f t="shared" si="2"/>
        <v/>
      </c>
    </row>
    <row r="385">
      <c r="D385" s="2" t="str">
        <f t="shared" si="2"/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96</v>
      </c>
    </row>
  </sheetData>
  <drawing r:id="rId1"/>
</worksheet>
</file>